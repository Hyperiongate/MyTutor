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blems by Unit" sheetId="1" state="visible" r:id="rId3"/>
    <sheet name="Course Summary" sheetId="2" state="visible" r:id="rId4"/>
    <sheet name="How Quizzing Work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<sst xmlns="http://schemas.openxmlformats.org/spreadsheetml/2006/main" count="280" uniqueCount="168">
  <si>
    <t xml:space="preserve">My Tutor — Problems by Unit, and where the quizzes fall</t>
  </si>
  <si>
    <t xml:space="preserve">Counts read directly from the app on 2026-08-24 (build mn): lessonscripts.LESSONS, drillpool.pool_for(), curriculum.units_for(). Quiz columns are the instruments rule 47 defines — they are generated live by the tutor, not drawn from these banks.</t>
  </si>
  <si>
    <t xml:space="preserve">Course</t>
  </si>
  <si>
    <t xml:space="preserve">Unit</t>
  </si>
  <si>
    <t xml:space="preserve">Unit name</t>
  </si>
  <si>
    <t xml:space="preserve">Lessons</t>
  </si>
  <si>
    <t xml:space="preserve">Lesson problems</t>
  </si>
  <si>
    <t xml:space="preserve">Worked examples</t>
  </si>
  <si>
    <t xml:space="preserve">Drill problems</t>
  </si>
  <si>
    <t xml:space="preserve">Total problems</t>
  </si>
  <si>
    <t xml:space="preserve">Lessons w/o drill</t>
  </si>
  <si>
    <t xml:space="preserve">Topic quizzes (5 Q ea.)</t>
  </si>
  <si>
    <t xml:space="preserve">Unit quiz (Q)</t>
  </si>
  <si>
    <t xml:space="preserve">Final exam (Q)</t>
  </si>
  <si>
    <t xml:space="preserve">Entry-Level Math</t>
  </si>
  <si>
    <t xml:space="preserve">Counting &amp; Number Sense</t>
  </si>
  <si>
    <t xml:space="preserve">Addition to 20</t>
  </si>
  <si>
    <t xml:space="preserve">Subtraction to 20</t>
  </si>
  <si>
    <t xml:space="preserve">Place Value to 1,000</t>
  </si>
  <si>
    <t xml:space="preserve">Two- &amp; Three-Digit Addition</t>
  </si>
  <si>
    <t xml:space="preserve">Two- &amp; Three-Digit Subtraction</t>
  </si>
  <si>
    <t xml:space="preserve">Money — Coins, Bills &amp; Making Change</t>
  </si>
  <si>
    <t xml:space="preserve">Time, Calendar &amp; Measurement</t>
  </si>
  <si>
    <t xml:space="preserve">Shapes, Patterns &amp; Groups</t>
  </si>
  <si>
    <t xml:space="preserve">Basic Math</t>
  </si>
  <si>
    <t xml:space="preserve">Place Value &amp; Whole-Number Operations</t>
  </si>
  <si>
    <t xml:space="preserve">Multiplication</t>
  </si>
  <si>
    <t xml:space="preserve">Division</t>
  </si>
  <si>
    <t xml:space="preserve">Factors, Multiples, GCF &amp; LCM</t>
  </si>
  <si>
    <t xml:space="preserve">Fractions — Meaning &amp; Equivalence</t>
  </si>
  <si>
    <t xml:space="preserve">Fraction Operations</t>
  </si>
  <si>
    <t xml:space="preserve">Decimals</t>
  </si>
  <si>
    <t xml:space="preserve">Ratios, Rates &amp; Percents</t>
  </si>
  <si>
    <t xml:space="preserve">Measurement, Geometry &amp; Word Problems</t>
  </si>
  <si>
    <t xml:space="preserve">Pre-Algebra</t>
  </si>
  <si>
    <t xml:space="preserve">Number Sense &amp; Order of Operations</t>
  </si>
  <si>
    <t xml:space="preserve">Factors, Multiples &amp; Primes</t>
  </si>
  <si>
    <t xml:space="preserve">Integers &amp; Negative Numbers</t>
  </si>
  <si>
    <t xml:space="preserve">Fractions</t>
  </si>
  <si>
    <t xml:space="preserve">Ratios, Rates &amp; Proportions</t>
  </si>
  <si>
    <t xml:space="preserve">Percents</t>
  </si>
  <si>
    <t xml:space="preserve">Measurement &amp; Geometry Basics</t>
  </si>
  <si>
    <t xml:space="preserve">Variables &amp; Expressions</t>
  </si>
  <si>
    <t xml:space="preserve">Algebra I</t>
  </si>
  <si>
    <t xml:space="preserve">Foundations &amp; Expressions</t>
  </si>
  <si>
    <t xml:space="preserve">Linear Equations &amp; Inequalities</t>
  </si>
  <si>
    <t xml:space="preserve">Functions &amp; Notation</t>
  </si>
  <si>
    <t xml:space="preserve">Linear Functions &amp; Graphs</t>
  </si>
  <si>
    <t xml:space="preserve">Systems of Equations</t>
  </si>
  <si>
    <t xml:space="preserve">Exponents &amp; Exponential Functions</t>
  </si>
  <si>
    <t xml:space="preserve">Polynomials &amp; Factoring</t>
  </si>
  <si>
    <t xml:space="preserve">Quadratic Functions</t>
  </si>
  <si>
    <t xml:space="preserve">Data &amp; Statistics</t>
  </si>
  <si>
    <t xml:space="preserve">Geometry</t>
  </si>
  <si>
    <t xml:space="preserve">Foundations &amp; Constructions</t>
  </si>
  <si>
    <t xml:space="preserve">Transformations &amp; Symmetry</t>
  </si>
  <si>
    <t xml:space="preserve">Congruence &amp; Triangle Proofs</t>
  </si>
  <si>
    <t xml:space="preserve">Similarity &amp; Dilations</t>
  </si>
  <si>
    <t xml:space="preserve">Right Triangles &amp; Trigonometry</t>
  </si>
  <si>
    <t xml:space="preserve">Circles</t>
  </si>
  <si>
    <t xml:space="preserve">Coordinate Geometry</t>
  </si>
  <si>
    <t xml:space="preserve">Area, Surface Area &amp; Volume</t>
  </si>
  <si>
    <t xml:space="preserve">Probability</t>
  </si>
  <si>
    <t xml:space="preserve">Algebra II</t>
  </si>
  <si>
    <t xml:space="preserve">Foundations &amp; Systems</t>
  </si>
  <si>
    <t xml:space="preserve">Quadratic Functions &amp; Complex Numbers</t>
  </si>
  <si>
    <t xml:space="preserve">Polynomial Functions</t>
  </si>
  <si>
    <t xml:space="preserve">Rational Expressions &amp; Functions</t>
  </si>
  <si>
    <t xml:space="preserve">Radicals &amp; Rational Exponents</t>
  </si>
  <si>
    <t xml:space="preserve">Exponential &amp; Logarithmic Functions</t>
  </si>
  <si>
    <t xml:space="preserve">Sequences &amp; Series</t>
  </si>
  <si>
    <t xml:space="preserve">Trigonometric Functions</t>
  </si>
  <si>
    <t xml:space="preserve">Statistics &amp; Probability</t>
  </si>
  <si>
    <t xml:space="preserve">Trig / Pre-Calc</t>
  </si>
  <si>
    <t xml:space="preserve">Functions &amp; Their Graphs</t>
  </si>
  <si>
    <t xml:space="preserve">Polynomial &amp; Rational Functions</t>
  </si>
  <si>
    <t xml:space="preserve">Analytic Trigonometry</t>
  </si>
  <si>
    <t xml:space="preserve">Applications of Trigonometry</t>
  </si>
  <si>
    <t xml:space="preserve">Conic Sections &amp; Parametric Equations</t>
  </si>
  <si>
    <t xml:space="preserve">Sequences, Series &amp; the Binomial Theorem</t>
  </si>
  <si>
    <t xml:space="preserve">Introduction to Limits</t>
  </si>
  <si>
    <t xml:space="preserve">Calculus</t>
  </si>
  <si>
    <t xml:space="preserve">Limits &amp; Continuity</t>
  </si>
  <si>
    <t xml:space="preserve">The Derivative: Definition &amp; Basic Rules</t>
  </si>
  <si>
    <t xml:space="preserve">Product, Quotient &amp; Chain Rules</t>
  </si>
  <si>
    <t xml:space="preserve">Applications of Derivatives</t>
  </si>
  <si>
    <t xml:space="preserve">Curve Sketching &amp; Optimization</t>
  </si>
  <si>
    <t xml:space="preserve">Antiderivatives &amp; Indefinite Integrals</t>
  </si>
  <si>
    <t xml:space="preserve">The Definite Integral &amp; the Fundamental Theorem</t>
  </si>
  <si>
    <t xml:space="preserve">Applications of Integration</t>
  </si>
  <si>
    <t xml:space="preserve">Introduction to Differential Equations</t>
  </si>
  <si>
    <t xml:space="preserve">Differential Equations</t>
  </si>
  <si>
    <t xml:space="preserve">Introduction, Classification &amp; Slope Fields</t>
  </si>
  <si>
    <t xml:space="preserve">First-Order Equations: Separable &amp; Linear</t>
  </si>
  <si>
    <t xml:space="preserve">Qualitative Analysis: Equilibria &amp; Stability</t>
  </si>
  <si>
    <t xml:space="preserve">Numerical Methods: Euler &amp; Runge-Kutta</t>
  </si>
  <si>
    <t xml:space="preserve">Second-Order Linear: Homogeneous</t>
  </si>
  <si>
    <t xml:space="preserve">Second-Order: Nonhomogeneous, Vibrations &amp; Resonance</t>
  </si>
  <si>
    <t xml:space="preserve">Laplace Transforms</t>
  </si>
  <si>
    <t xml:space="preserve">Linear Systems &amp; the Phase Plane</t>
  </si>
  <si>
    <t xml:space="preserve">Nonlinear Systems &amp; Stability</t>
  </si>
  <si>
    <t xml:space="preserve">Probability &amp; Statistics</t>
  </si>
  <si>
    <t xml:space="preserve">Exploring Data</t>
  </si>
  <si>
    <t xml:space="preserve">Describing Distributions</t>
  </si>
  <si>
    <t xml:space="preserve">Scatterplots &amp; Correlation</t>
  </si>
  <si>
    <t xml:space="preserve">Collecting Data</t>
  </si>
  <si>
    <t xml:space="preserve">Probability Basics</t>
  </si>
  <si>
    <t xml:space="preserve">Conditional Probability &amp; Independence</t>
  </si>
  <si>
    <t xml:space="preserve">Random Variables &amp; Expected Value</t>
  </si>
  <si>
    <t xml:space="preserve">The Normal Distribution</t>
  </si>
  <si>
    <t xml:space="preserve">Sampling &amp; Inference</t>
  </si>
  <si>
    <t xml:space="preserve">TOTAL — all courses</t>
  </si>
  <si>
    <t xml:space="preserve">What each column means</t>
  </si>
  <si>
    <t xml:space="preserve">The scripted bank inside each lesson — every one authored and put through lessonscripts.validate().</t>
  </si>
  <si>
    <t xml:space="preserve">The 'pairs' in each lesson: a problem Mr. Cadabra works aloud, then its twin for the student. Two per lesson.</t>
  </si>
  <si>
    <t xml:space="preserve">Abrabot's extra-practice pool (drillpool.py) — unlimited repetition on the same idea, no model call and no voice cost.</t>
  </si>
  <si>
    <t xml:space="preserve">Lessons the pool could not fill (53 of 328 course-wide). The /drill picker greys these out and says so.</t>
  </si>
  <si>
    <t xml:space="preserve">Topic quizzes</t>
  </si>
  <si>
    <t xml:space="preserve">FIVE questions on one topic, no hints. One per lesson-topic, so this column equals the lesson count.</t>
  </si>
  <si>
    <t xml:space="preserve">Unit quiz</t>
  </si>
  <si>
    <t xml:space="preserve">TEN questions spanning the whole unit. 90% or better = unit MASTERED (store.PASS_PCT). Ten is deliberate: on five questions there is no honest 90%.</t>
  </si>
  <si>
    <t xml:space="preserve">Final exam</t>
  </si>
  <si>
    <t xml:space="preserve">TWO questions per unit across the whole course (18 for a nine-unit course), unlocked only when every unit is mastered. 90% = Course Champion 🏅.</t>
  </si>
  <si>
    <t xml:space="preserve">Not in these counts</t>
  </si>
  <si>
    <t xml:space="preserve">Quiz and exam questions are composed live by the tutor for that student, so they have no fixed bank to count. The columns show how many questions each instrument asks.</t>
  </si>
  <si>
    <t xml:space="preserve">My Tutor — course totals</t>
  </si>
  <si>
    <t xml:space="preserve">Units</t>
  </si>
  <si>
    <t xml:space="preserve">Units with lessons</t>
  </si>
  <si>
    <t xml:space="preserve">Unit quizzes</t>
  </si>
  <si>
    <t xml:space="preserve">TOTAL</t>
  </si>
  <si>
    <t xml:space="preserve">Note</t>
  </si>
  <si>
    <t xml:space="preserve">Entry-Level Math is the one course whose scripted lessons do not yet cover every unit: Units 8 (Time, Calendar &amp; Measurement) and 9 (Shapes, Patterns &amp; Groups) have no scripted lessons, and Units 4 and 6 have one apiece. Every other course runs four lessons in each of its nine units.</t>
  </si>
  <si>
    <t xml:space="preserve">Where the quizzes fall</t>
  </si>
  <si>
    <t xml:space="preserve">Step</t>
  </si>
  <si>
    <t xml:space="preserve">Stage</t>
  </si>
  <si>
    <t xml:space="preserve">What happens</t>
  </si>
  <si>
    <t xml:space="preserve">Length</t>
  </si>
  <si>
    <t xml:space="preserve">Bar</t>
  </si>
  <si>
    <t xml:space="preserve">1</t>
  </si>
  <si>
    <t xml:space="preserve">Lesson</t>
  </si>
  <si>
    <t xml:space="preserve">Mr. Cadabra teaches the topic: teach beats, a worked example, then its twin for the student.</t>
  </si>
  <si>
    <t xml:space="preserve">—</t>
  </si>
  <si>
    <t xml:space="preserve">2</t>
  </si>
  <si>
    <t xml:space="preserve">Practice</t>
  </si>
  <si>
    <t xml:space="preserve">The lesson's own bank. Abrabot's drill pool adds unlimited extra problems on the same idea, free.</t>
  </si>
  <si>
    <t xml:space="preserve">3</t>
  </si>
  <si>
    <t xml:space="preserve">Topic quiz</t>
  </si>
  <si>
    <t xml:space="preserve">FIVE questions on that one topic, no hints. Offered only after two unaided right answers (rule 47).</t>
  </si>
  <si>
    <t xml:space="preserve">5 questions</t>
  </si>
  <si>
    <t xml:space="preserve">80% to pass</t>
  </si>
  <si>
    <t xml:space="preserve">4</t>
  </si>
  <si>
    <t xml:space="preserve">Next topic</t>
  </si>
  <si>
    <t xml:space="preserve">Repeat 1–3 for each topic in the unit (four topics per unit in every course but Entry-Level).</t>
  </si>
  <si>
    <t xml:space="preserve">5</t>
  </si>
  <si>
    <t xml:space="preserve">UNIT QUIZ</t>
  </si>
  <si>
    <t xml:space="preserve">TEN questions spanning the whole unit — every topic in it, not just the last one.</t>
  </si>
  <si>
    <t xml:space="preserve">10 questions</t>
  </si>
  <si>
    <t xml:space="preserve">90% = MASTERED</t>
  </si>
  <si>
    <t xml:space="preserve">6</t>
  </si>
  <si>
    <t xml:space="preserve">Next unit</t>
  </si>
  <si>
    <t xml:space="preserve">Repeat until all nine units of the course are mastered.</t>
  </si>
  <si>
    <t xml:space="preserve">7</t>
  </si>
  <si>
    <t xml:space="preserve">FINAL EXAM</t>
  </si>
  <si>
    <t xml:space="preserve">Unlocked only when every unit is mastered. TWO questions per unit, in unit order, no hints.</t>
  </si>
  <si>
    <t xml:space="preserve">18 questions</t>
  </si>
  <si>
    <t xml:space="preserve">90% = Course Champion 🏅</t>
  </si>
  <si>
    <t xml:space="preserve">Important</t>
  </si>
  <si>
    <t xml:space="preserve">Quiz and exam questions are NOT drawn from the problem banks counted on the other sheets. Mr. Cadabra composes them live for that student, under rule 47: no cold quizzes (two unaided right answers first), the quiz asks only what was taught, a named angle is drawn on the board, and a question may never contain its own answer. The banks are for teaching and practice; the quizzes are the measurement.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</si>
</sst>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4F6F"/>
        <bgColor rgb="FF555555"/>
      </patternFill>
    </fill>
    <fill>
      <patternFill patternType="solid">
        <fgColor rgb="FFDCE6F1"/>
        <bgColor rgb="FFCCFFFF"/>
      </patternFill>
    </fill>
    <fill>
      <patternFill patternType="solid">
        <fgColor rgb="FFFFF7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C4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4D4"/>
      <rgbColor rgb="FF808080"/>
      <rgbColor rgb="FF9999FF"/>
      <rgbColor rgb="FF993366"/>
      <rgbColor rgb="FFFFF7E0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4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"/>
    <col collapsed="false" customWidth="true" hidden="false" outlineLevel="0" max="3" min="3" style="0" width="42"/>
    <col collapsed="false" customWidth="true" hidden="false" outlineLevel="0" max="4" min="4" style="0" width="9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5"/>
    <col collapsed="false" customWidth="true" hidden="false" outlineLevel="0" max="12" min="11" style="0" width="12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n">
        <v>1</v>
      </c>
      <c r="C5" s="4" t="s">
        <v>15</v>
      </c>
      <c r="D5" s="5" t="n">
        <v>2</v>
      </c>
      <c r="E5" s="5" t="n">
        <v>20</v>
      </c>
      <c r="F5" s="5" t="n">
        <v>4</v>
      </c>
      <c r="G5" s="5" t="n">
        <v>5</v>
      </c>
      <c r="H5" s="5" t="n">
        <f aca="false">E5+F5+G5</f>
        <v>29</v>
      </c>
      <c r="I5" s="5" t="n">
        <v>1</v>
      </c>
      <c r="J5" s="5" t="n">
        <f aca="false">D5</f>
        <v>2</v>
      </c>
      <c r="K5" s="5" t="n">
        <v>10</v>
      </c>
      <c r="L5" s="5" t="n">
        <v>2</v>
      </c>
    </row>
    <row r="6" customFormat="false" ht="15" hidden="false" customHeight="false" outlineLevel="0" collapsed="false">
      <c r="A6" s="4" t="s">
        <v>14</v>
      </c>
      <c r="B6" s="4" t="n">
        <v>2</v>
      </c>
      <c r="C6" s="4" t="s">
        <v>16</v>
      </c>
      <c r="D6" s="5" t="n">
        <v>2</v>
      </c>
      <c r="E6" s="5" t="n">
        <v>24</v>
      </c>
      <c r="F6" s="5" t="n">
        <v>4</v>
      </c>
      <c r="G6" s="5" t="n">
        <v>98</v>
      </c>
      <c r="H6" s="5" t="n">
        <f aca="false">E6+F6+G6</f>
        <v>126</v>
      </c>
      <c r="I6" s="5" t="n">
        <v>0</v>
      </c>
      <c r="J6" s="5" t="n">
        <f aca="false">D6</f>
        <v>2</v>
      </c>
      <c r="K6" s="5" t="n">
        <v>10</v>
      </c>
      <c r="L6" s="5" t="n">
        <v>2</v>
      </c>
    </row>
    <row r="7" customFormat="false" ht="15" hidden="false" customHeight="false" outlineLevel="0" collapsed="false">
      <c r="A7" s="4" t="s">
        <v>14</v>
      </c>
      <c r="B7" s="4" t="n">
        <v>3</v>
      </c>
      <c r="C7" s="4" t="s">
        <v>17</v>
      </c>
      <c r="D7" s="5" t="n">
        <v>3</v>
      </c>
      <c r="E7" s="5" t="n">
        <v>34</v>
      </c>
      <c r="F7" s="5" t="n">
        <v>6</v>
      </c>
      <c r="G7" s="5" t="n">
        <v>35</v>
      </c>
      <c r="H7" s="5" t="n">
        <f aca="false">E7+F7+G7</f>
        <v>75</v>
      </c>
      <c r="I7" s="5" t="n">
        <v>2</v>
      </c>
      <c r="J7" s="5" t="n">
        <f aca="false">D7</f>
        <v>3</v>
      </c>
      <c r="K7" s="5" t="n">
        <v>10</v>
      </c>
      <c r="L7" s="5" t="n">
        <v>2</v>
      </c>
    </row>
    <row r="8" customFormat="false" ht="15" hidden="false" customHeight="false" outlineLevel="0" collapsed="false">
      <c r="A8" s="4" t="s">
        <v>14</v>
      </c>
      <c r="B8" s="4" t="n">
        <v>4</v>
      </c>
      <c r="C8" s="4" t="s">
        <v>18</v>
      </c>
      <c r="D8" s="5" t="n">
        <v>1</v>
      </c>
      <c r="E8" s="5" t="n">
        <v>7</v>
      </c>
      <c r="F8" s="5" t="n">
        <v>2</v>
      </c>
      <c r="G8" s="5" t="n">
        <v>0</v>
      </c>
      <c r="H8" s="5" t="n">
        <f aca="false">E8+F8+G8</f>
        <v>9</v>
      </c>
      <c r="I8" s="5" t="n">
        <v>1</v>
      </c>
      <c r="J8" s="5" t="n">
        <f aca="false">D8</f>
        <v>1</v>
      </c>
      <c r="K8" s="5" t="n">
        <v>10</v>
      </c>
      <c r="L8" s="5" t="n">
        <v>2</v>
      </c>
    </row>
    <row r="9" customFormat="false" ht="15" hidden="false" customHeight="false" outlineLevel="0" collapsed="false">
      <c r="A9" s="4" t="s">
        <v>14</v>
      </c>
      <c r="B9" s="4" t="n">
        <v>5</v>
      </c>
      <c r="C9" s="4" t="s">
        <v>19</v>
      </c>
      <c r="D9" s="5" t="n">
        <v>2</v>
      </c>
      <c r="E9" s="5" t="n">
        <v>24</v>
      </c>
      <c r="F9" s="5" t="n">
        <v>4</v>
      </c>
      <c r="G9" s="5" t="n">
        <v>480</v>
      </c>
      <c r="H9" s="5" t="n">
        <f aca="false">E9+F9+G9</f>
        <v>508</v>
      </c>
      <c r="I9" s="5" t="n">
        <v>0</v>
      </c>
      <c r="J9" s="5" t="n">
        <f aca="false">D9</f>
        <v>2</v>
      </c>
      <c r="K9" s="5" t="n">
        <v>10</v>
      </c>
      <c r="L9" s="5" t="n">
        <v>2</v>
      </c>
    </row>
    <row r="10" customFormat="false" ht="15" hidden="false" customHeight="false" outlineLevel="0" collapsed="false">
      <c r="A10" s="4" t="s">
        <v>14</v>
      </c>
      <c r="B10" s="4" t="n">
        <v>6</v>
      </c>
      <c r="C10" s="4" t="s">
        <v>20</v>
      </c>
      <c r="D10" s="5" t="n">
        <v>1</v>
      </c>
      <c r="E10" s="5" t="n">
        <v>12</v>
      </c>
      <c r="F10" s="5" t="n">
        <v>2</v>
      </c>
      <c r="G10" s="5" t="n">
        <v>0</v>
      </c>
      <c r="H10" s="5" t="n">
        <f aca="false">E10+F10+G10</f>
        <v>14</v>
      </c>
      <c r="I10" s="5" t="n">
        <v>1</v>
      </c>
      <c r="J10" s="5" t="n">
        <f aca="false">D10</f>
        <v>1</v>
      </c>
      <c r="K10" s="5" t="n">
        <v>10</v>
      </c>
      <c r="L10" s="5" t="n">
        <v>2</v>
      </c>
    </row>
    <row r="11" customFormat="false" ht="15" hidden="false" customHeight="false" outlineLevel="0" collapsed="false">
      <c r="A11" s="4" t="s">
        <v>14</v>
      </c>
      <c r="B11" s="4" t="n">
        <v>7</v>
      </c>
      <c r="C11" s="4" t="s">
        <v>21</v>
      </c>
      <c r="D11" s="5" t="n">
        <v>1</v>
      </c>
      <c r="E11" s="5" t="n">
        <v>12</v>
      </c>
      <c r="F11" s="5" t="n">
        <v>2</v>
      </c>
      <c r="G11" s="5" t="n">
        <v>7</v>
      </c>
      <c r="H11" s="5" t="n">
        <f aca="false">E11+F11+G11</f>
        <v>21</v>
      </c>
      <c r="I11" s="5" t="n">
        <v>0</v>
      </c>
      <c r="J11" s="5" t="n">
        <f aca="false">D11</f>
        <v>1</v>
      </c>
      <c r="K11" s="5" t="n">
        <v>10</v>
      </c>
      <c r="L11" s="5" t="n">
        <v>2</v>
      </c>
    </row>
    <row r="12" customFormat="false" ht="15" hidden="false" customHeight="false" outlineLevel="0" collapsed="false">
      <c r="A12" s="4" t="s">
        <v>14</v>
      </c>
      <c r="B12" s="4" t="n">
        <v>8</v>
      </c>
      <c r="C12" s="4" t="s">
        <v>22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f aca="false">E12+F12+G12</f>
        <v>0</v>
      </c>
      <c r="I12" s="5" t="n">
        <v>0</v>
      </c>
      <c r="J12" s="5" t="n">
        <f aca="false">D12</f>
        <v>0</v>
      </c>
      <c r="K12" s="5" t="n">
        <v>0</v>
      </c>
      <c r="L12" s="5" t="n">
        <v>2</v>
      </c>
    </row>
    <row r="13" customFormat="false" ht="15" hidden="false" customHeight="false" outlineLevel="0" collapsed="false">
      <c r="A13" s="4" t="s">
        <v>14</v>
      </c>
      <c r="B13" s="4" t="n">
        <v>9</v>
      </c>
      <c r="C13" s="4" t="s">
        <v>23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f aca="false">E13+F13+G13</f>
        <v>0</v>
      </c>
      <c r="I13" s="5" t="n">
        <v>0</v>
      </c>
      <c r="J13" s="5" t="n">
        <f aca="false">D13</f>
        <v>0</v>
      </c>
      <c r="K13" s="5" t="n">
        <v>0</v>
      </c>
      <c r="L13" s="5" t="n">
        <v>2</v>
      </c>
    </row>
    <row r="14" customFormat="false" ht="15" hidden="false" customHeight="false" outlineLevel="0" collapsed="false">
      <c r="A14" s="4" t="s">
        <v>24</v>
      </c>
      <c r="B14" s="4" t="n">
        <v>1</v>
      </c>
      <c r="C14" s="4" t="s">
        <v>25</v>
      </c>
      <c r="D14" s="5" t="n">
        <v>4</v>
      </c>
      <c r="E14" s="5" t="n">
        <v>40</v>
      </c>
      <c r="F14" s="5" t="n">
        <v>8</v>
      </c>
      <c r="G14" s="5" t="n">
        <v>783</v>
      </c>
      <c r="H14" s="5" t="n">
        <f aca="false">E14+F14+G14</f>
        <v>831</v>
      </c>
      <c r="I14" s="5" t="n">
        <v>0</v>
      </c>
      <c r="J14" s="5" t="n">
        <f aca="false">D14</f>
        <v>4</v>
      </c>
      <c r="K14" s="5" t="n">
        <v>10</v>
      </c>
      <c r="L14" s="5" t="n">
        <v>2</v>
      </c>
    </row>
    <row r="15" customFormat="false" ht="15" hidden="false" customHeight="false" outlineLevel="0" collapsed="false">
      <c r="A15" s="4" t="s">
        <v>24</v>
      </c>
      <c r="B15" s="4" t="n">
        <v>2</v>
      </c>
      <c r="C15" s="4" t="s">
        <v>26</v>
      </c>
      <c r="D15" s="5" t="n">
        <v>3</v>
      </c>
      <c r="E15" s="5" t="n">
        <v>28</v>
      </c>
      <c r="F15" s="5" t="n">
        <v>6</v>
      </c>
      <c r="G15" s="5" t="n">
        <v>268</v>
      </c>
      <c r="H15" s="5" t="n">
        <f aca="false">E15+F15+G15</f>
        <v>302</v>
      </c>
      <c r="I15" s="5" t="n">
        <v>1</v>
      </c>
      <c r="J15" s="5" t="n">
        <f aca="false">D15</f>
        <v>3</v>
      </c>
      <c r="K15" s="5" t="n">
        <v>10</v>
      </c>
      <c r="L15" s="5" t="n">
        <v>2</v>
      </c>
    </row>
    <row r="16" customFormat="false" ht="15" hidden="false" customHeight="false" outlineLevel="0" collapsed="false">
      <c r="A16" s="4" t="s">
        <v>24</v>
      </c>
      <c r="B16" s="4" t="n">
        <v>3</v>
      </c>
      <c r="C16" s="4" t="s">
        <v>27</v>
      </c>
      <c r="D16" s="5" t="n">
        <v>4</v>
      </c>
      <c r="E16" s="5" t="n">
        <v>40</v>
      </c>
      <c r="F16" s="5" t="n">
        <v>8</v>
      </c>
      <c r="G16" s="5" t="n">
        <v>314</v>
      </c>
      <c r="H16" s="5" t="n">
        <f aca="false">E16+F16+G16</f>
        <v>362</v>
      </c>
      <c r="I16" s="5" t="n">
        <v>0</v>
      </c>
      <c r="J16" s="5" t="n">
        <f aca="false">D16</f>
        <v>4</v>
      </c>
      <c r="K16" s="5" t="n">
        <v>10</v>
      </c>
      <c r="L16" s="5" t="n">
        <v>2</v>
      </c>
    </row>
    <row r="17" customFormat="false" ht="15" hidden="false" customHeight="false" outlineLevel="0" collapsed="false">
      <c r="A17" s="4" t="s">
        <v>24</v>
      </c>
      <c r="B17" s="4" t="n">
        <v>4</v>
      </c>
      <c r="C17" s="4" t="s">
        <v>28</v>
      </c>
      <c r="D17" s="5" t="n">
        <v>3</v>
      </c>
      <c r="E17" s="5" t="n">
        <v>31</v>
      </c>
      <c r="F17" s="5" t="n">
        <v>6</v>
      </c>
      <c r="G17" s="5" t="n">
        <v>300</v>
      </c>
      <c r="H17" s="5" t="n">
        <f aca="false">E17+F17+G17</f>
        <v>337</v>
      </c>
      <c r="I17" s="5" t="n">
        <v>0</v>
      </c>
      <c r="J17" s="5" t="n">
        <f aca="false">D17</f>
        <v>3</v>
      </c>
      <c r="K17" s="5" t="n">
        <v>10</v>
      </c>
      <c r="L17" s="5" t="n">
        <v>2</v>
      </c>
    </row>
    <row r="18" customFormat="false" ht="15" hidden="false" customHeight="false" outlineLevel="0" collapsed="false">
      <c r="A18" s="4" t="s">
        <v>24</v>
      </c>
      <c r="B18" s="4" t="n">
        <v>5</v>
      </c>
      <c r="C18" s="4" t="s">
        <v>29</v>
      </c>
      <c r="D18" s="5" t="n">
        <v>3</v>
      </c>
      <c r="E18" s="5" t="n">
        <v>29</v>
      </c>
      <c r="F18" s="5" t="n">
        <v>6</v>
      </c>
      <c r="G18" s="5" t="n">
        <v>33</v>
      </c>
      <c r="H18" s="5" t="n">
        <f aca="false">E18+F18+G18</f>
        <v>68</v>
      </c>
      <c r="I18" s="5" t="n">
        <v>1</v>
      </c>
      <c r="J18" s="5" t="n">
        <f aca="false">D18</f>
        <v>3</v>
      </c>
      <c r="K18" s="5" t="n">
        <v>10</v>
      </c>
      <c r="L18" s="5" t="n">
        <v>2</v>
      </c>
    </row>
    <row r="19" customFormat="false" ht="15" hidden="false" customHeight="false" outlineLevel="0" collapsed="false">
      <c r="A19" s="4" t="s">
        <v>24</v>
      </c>
      <c r="B19" s="4" t="n">
        <v>6</v>
      </c>
      <c r="C19" s="4" t="s">
        <v>30</v>
      </c>
      <c r="D19" s="5" t="n">
        <v>3</v>
      </c>
      <c r="E19" s="5" t="n">
        <v>32</v>
      </c>
      <c r="F19" s="5" t="n">
        <v>6</v>
      </c>
      <c r="G19" s="5" t="n">
        <v>217</v>
      </c>
      <c r="H19" s="5" t="n">
        <f aca="false">E19+F19+G19</f>
        <v>255</v>
      </c>
      <c r="I19" s="5" t="n">
        <v>0</v>
      </c>
      <c r="J19" s="5" t="n">
        <f aca="false">D19</f>
        <v>3</v>
      </c>
      <c r="K19" s="5" t="n">
        <v>10</v>
      </c>
      <c r="L19" s="5" t="n">
        <v>2</v>
      </c>
    </row>
    <row r="20" customFormat="false" ht="15" hidden="false" customHeight="false" outlineLevel="0" collapsed="false">
      <c r="A20" s="4" t="s">
        <v>24</v>
      </c>
      <c r="B20" s="4" t="n">
        <v>7</v>
      </c>
      <c r="C20" s="4" t="s">
        <v>31</v>
      </c>
      <c r="D20" s="5" t="n">
        <v>3</v>
      </c>
      <c r="E20" s="5" t="n">
        <v>30</v>
      </c>
      <c r="F20" s="5" t="n">
        <v>6</v>
      </c>
      <c r="G20" s="5" t="n">
        <v>329</v>
      </c>
      <c r="H20" s="5" t="n">
        <f aca="false">E20+F20+G20</f>
        <v>365</v>
      </c>
      <c r="I20" s="5" t="n">
        <v>0</v>
      </c>
      <c r="J20" s="5" t="n">
        <f aca="false">D20</f>
        <v>3</v>
      </c>
      <c r="K20" s="5" t="n">
        <v>10</v>
      </c>
      <c r="L20" s="5" t="n">
        <v>2</v>
      </c>
    </row>
    <row r="21" customFormat="false" ht="15" hidden="false" customHeight="false" outlineLevel="0" collapsed="false">
      <c r="A21" s="4" t="s">
        <v>24</v>
      </c>
      <c r="B21" s="4" t="n">
        <v>8</v>
      </c>
      <c r="C21" s="4" t="s">
        <v>32</v>
      </c>
      <c r="D21" s="5" t="n">
        <v>2</v>
      </c>
      <c r="E21" s="5" t="n">
        <v>20</v>
      </c>
      <c r="F21" s="5" t="n">
        <v>4</v>
      </c>
      <c r="G21" s="5" t="n">
        <v>67</v>
      </c>
      <c r="H21" s="5" t="n">
        <f aca="false">E21+F21+G21</f>
        <v>91</v>
      </c>
      <c r="I21" s="5" t="n">
        <v>0</v>
      </c>
      <c r="J21" s="5" t="n">
        <f aca="false">D21</f>
        <v>2</v>
      </c>
      <c r="K21" s="5" t="n">
        <v>10</v>
      </c>
      <c r="L21" s="5" t="n">
        <v>2</v>
      </c>
    </row>
    <row r="22" customFormat="false" ht="15" hidden="false" customHeight="false" outlineLevel="0" collapsed="false">
      <c r="A22" s="4" t="s">
        <v>24</v>
      </c>
      <c r="B22" s="4" t="n">
        <v>9</v>
      </c>
      <c r="C22" s="4" t="s">
        <v>33</v>
      </c>
      <c r="D22" s="5" t="n">
        <v>4</v>
      </c>
      <c r="E22" s="5" t="n">
        <v>38</v>
      </c>
      <c r="F22" s="5" t="n">
        <v>8</v>
      </c>
      <c r="G22" s="5" t="n">
        <v>149</v>
      </c>
      <c r="H22" s="5" t="n">
        <f aca="false">E22+F22+G22</f>
        <v>195</v>
      </c>
      <c r="I22" s="5" t="n">
        <v>1</v>
      </c>
      <c r="J22" s="5" t="n">
        <f aca="false">D22</f>
        <v>4</v>
      </c>
      <c r="K22" s="5" t="n">
        <v>10</v>
      </c>
      <c r="L22" s="5" t="n">
        <v>2</v>
      </c>
    </row>
    <row r="23" customFormat="false" ht="15" hidden="false" customHeight="false" outlineLevel="0" collapsed="false">
      <c r="A23" s="4" t="s">
        <v>34</v>
      </c>
      <c r="B23" s="4" t="n">
        <v>1</v>
      </c>
      <c r="C23" s="4" t="s">
        <v>35</v>
      </c>
      <c r="D23" s="5" t="n">
        <v>4</v>
      </c>
      <c r="E23" s="5" t="n">
        <v>40</v>
      </c>
      <c r="F23" s="5" t="n">
        <v>8</v>
      </c>
      <c r="G23" s="5" t="n">
        <v>551</v>
      </c>
      <c r="H23" s="5" t="n">
        <f aca="false">E23+F23+G23</f>
        <v>599</v>
      </c>
      <c r="I23" s="5" t="n">
        <v>1</v>
      </c>
      <c r="J23" s="5" t="n">
        <f aca="false">D23</f>
        <v>4</v>
      </c>
      <c r="K23" s="5" t="n">
        <v>10</v>
      </c>
      <c r="L23" s="5" t="n">
        <v>2</v>
      </c>
    </row>
    <row r="24" customFormat="false" ht="15" hidden="false" customHeight="false" outlineLevel="0" collapsed="false">
      <c r="A24" s="4" t="s">
        <v>34</v>
      </c>
      <c r="B24" s="4" t="n">
        <v>2</v>
      </c>
      <c r="C24" s="4" t="s">
        <v>36</v>
      </c>
      <c r="D24" s="5" t="n">
        <v>3</v>
      </c>
      <c r="E24" s="5" t="n">
        <v>30</v>
      </c>
      <c r="F24" s="5" t="n">
        <v>6</v>
      </c>
      <c r="G24" s="5" t="n">
        <v>561</v>
      </c>
      <c r="H24" s="5" t="n">
        <f aca="false">E24+F24+G24</f>
        <v>597</v>
      </c>
      <c r="I24" s="5" t="n">
        <v>0</v>
      </c>
      <c r="J24" s="5" t="n">
        <f aca="false">D24</f>
        <v>3</v>
      </c>
      <c r="K24" s="5" t="n">
        <v>10</v>
      </c>
      <c r="L24" s="5" t="n">
        <v>2</v>
      </c>
    </row>
    <row r="25" customFormat="false" ht="15" hidden="false" customHeight="false" outlineLevel="0" collapsed="false">
      <c r="A25" s="4" t="s">
        <v>34</v>
      </c>
      <c r="B25" s="4" t="n">
        <v>3</v>
      </c>
      <c r="C25" s="4" t="s">
        <v>37</v>
      </c>
      <c r="D25" s="5" t="n">
        <v>4</v>
      </c>
      <c r="E25" s="5" t="n">
        <v>40</v>
      </c>
      <c r="F25" s="5" t="n">
        <v>8</v>
      </c>
      <c r="G25" s="5" t="n">
        <v>78</v>
      </c>
      <c r="H25" s="5" t="n">
        <f aca="false">E25+F25+G25</f>
        <v>126</v>
      </c>
      <c r="I25" s="5" t="n">
        <v>3</v>
      </c>
      <c r="J25" s="5" t="n">
        <f aca="false">D25</f>
        <v>4</v>
      </c>
      <c r="K25" s="5" t="n">
        <v>10</v>
      </c>
      <c r="L25" s="5" t="n">
        <v>2</v>
      </c>
    </row>
    <row r="26" customFormat="false" ht="15" hidden="false" customHeight="false" outlineLevel="0" collapsed="false">
      <c r="A26" s="4" t="s">
        <v>34</v>
      </c>
      <c r="B26" s="4" t="n">
        <v>4</v>
      </c>
      <c r="C26" s="4" t="s">
        <v>38</v>
      </c>
      <c r="D26" s="5" t="n">
        <v>4</v>
      </c>
      <c r="E26" s="5" t="n">
        <v>40</v>
      </c>
      <c r="F26" s="5" t="n">
        <v>8</v>
      </c>
      <c r="G26" s="5" t="n">
        <v>141</v>
      </c>
      <c r="H26" s="5" t="n">
        <f aca="false">E26+F26+G26</f>
        <v>189</v>
      </c>
      <c r="I26" s="5" t="n">
        <v>0</v>
      </c>
      <c r="J26" s="5" t="n">
        <f aca="false">D26</f>
        <v>4</v>
      </c>
      <c r="K26" s="5" t="n">
        <v>10</v>
      </c>
      <c r="L26" s="5" t="n">
        <v>2</v>
      </c>
    </row>
    <row r="27" customFormat="false" ht="15" hidden="false" customHeight="false" outlineLevel="0" collapsed="false">
      <c r="A27" s="4" t="s">
        <v>34</v>
      </c>
      <c r="B27" s="4" t="n">
        <v>5</v>
      </c>
      <c r="C27" s="4" t="s">
        <v>31</v>
      </c>
      <c r="D27" s="5" t="n">
        <v>4</v>
      </c>
      <c r="E27" s="5" t="n">
        <v>40</v>
      </c>
      <c r="F27" s="5" t="n">
        <v>8</v>
      </c>
      <c r="G27" s="5" t="n">
        <v>256</v>
      </c>
      <c r="H27" s="5" t="n">
        <f aca="false">E27+F27+G27</f>
        <v>304</v>
      </c>
      <c r="I27" s="5" t="n">
        <v>0</v>
      </c>
      <c r="J27" s="5" t="n">
        <f aca="false">D27</f>
        <v>4</v>
      </c>
      <c r="K27" s="5" t="n">
        <v>10</v>
      </c>
      <c r="L27" s="5" t="n">
        <v>2</v>
      </c>
    </row>
    <row r="28" customFormat="false" ht="15" hidden="false" customHeight="false" outlineLevel="0" collapsed="false">
      <c r="A28" s="4" t="s">
        <v>34</v>
      </c>
      <c r="B28" s="4" t="n">
        <v>6</v>
      </c>
      <c r="C28" s="4" t="s">
        <v>39</v>
      </c>
      <c r="D28" s="5" t="n">
        <v>4</v>
      </c>
      <c r="E28" s="5" t="n">
        <v>40</v>
      </c>
      <c r="F28" s="5" t="n">
        <v>8</v>
      </c>
      <c r="G28" s="5" t="n">
        <v>603</v>
      </c>
      <c r="H28" s="5" t="n">
        <f aca="false">E28+F28+G28</f>
        <v>651</v>
      </c>
      <c r="I28" s="5" t="n">
        <v>0</v>
      </c>
      <c r="J28" s="5" t="n">
        <f aca="false">D28</f>
        <v>4</v>
      </c>
      <c r="K28" s="5" t="n">
        <v>10</v>
      </c>
      <c r="L28" s="5" t="n">
        <v>2</v>
      </c>
    </row>
    <row r="29" customFormat="false" ht="15" hidden="false" customHeight="false" outlineLevel="0" collapsed="false">
      <c r="A29" s="4" t="s">
        <v>34</v>
      </c>
      <c r="B29" s="4" t="n">
        <v>7</v>
      </c>
      <c r="C29" s="4" t="s">
        <v>40</v>
      </c>
      <c r="D29" s="5" t="n">
        <v>4</v>
      </c>
      <c r="E29" s="5" t="n">
        <v>40</v>
      </c>
      <c r="F29" s="5" t="n">
        <v>8</v>
      </c>
      <c r="G29" s="5" t="n">
        <v>163</v>
      </c>
      <c r="H29" s="5" t="n">
        <f aca="false">E29+F29+G29</f>
        <v>211</v>
      </c>
      <c r="I29" s="5" t="n">
        <v>0</v>
      </c>
      <c r="J29" s="5" t="n">
        <f aca="false">D29</f>
        <v>4</v>
      </c>
      <c r="K29" s="5" t="n">
        <v>10</v>
      </c>
      <c r="L29" s="5" t="n">
        <v>2</v>
      </c>
    </row>
    <row r="30" customFormat="false" ht="15" hidden="false" customHeight="false" outlineLevel="0" collapsed="false">
      <c r="A30" s="4" t="s">
        <v>34</v>
      </c>
      <c r="B30" s="4" t="n">
        <v>8</v>
      </c>
      <c r="C30" s="4" t="s">
        <v>41</v>
      </c>
      <c r="D30" s="5" t="n">
        <v>4</v>
      </c>
      <c r="E30" s="5" t="n">
        <v>40</v>
      </c>
      <c r="F30" s="5" t="n">
        <v>8</v>
      </c>
      <c r="G30" s="5" t="n">
        <v>439</v>
      </c>
      <c r="H30" s="5" t="n">
        <f aca="false">E30+F30+G30</f>
        <v>487</v>
      </c>
      <c r="I30" s="5" t="n">
        <v>0</v>
      </c>
      <c r="J30" s="5" t="n">
        <f aca="false">D30</f>
        <v>4</v>
      </c>
      <c r="K30" s="5" t="n">
        <v>10</v>
      </c>
      <c r="L30" s="5" t="n">
        <v>2</v>
      </c>
    </row>
    <row r="31" customFormat="false" ht="15" hidden="false" customHeight="false" outlineLevel="0" collapsed="false">
      <c r="A31" s="4" t="s">
        <v>34</v>
      </c>
      <c r="B31" s="4" t="n">
        <v>9</v>
      </c>
      <c r="C31" s="4" t="s">
        <v>42</v>
      </c>
      <c r="D31" s="5" t="n">
        <v>4</v>
      </c>
      <c r="E31" s="5" t="n">
        <v>40</v>
      </c>
      <c r="F31" s="5" t="n">
        <v>8</v>
      </c>
      <c r="G31" s="5" t="n">
        <v>121</v>
      </c>
      <c r="H31" s="5" t="n">
        <f aca="false">E31+F31+G31</f>
        <v>169</v>
      </c>
      <c r="I31" s="5" t="n">
        <v>0</v>
      </c>
      <c r="J31" s="5" t="n">
        <f aca="false">D31</f>
        <v>4</v>
      </c>
      <c r="K31" s="5" t="n">
        <v>10</v>
      </c>
      <c r="L31" s="5" t="n">
        <v>2</v>
      </c>
    </row>
    <row r="32" customFormat="false" ht="15" hidden="false" customHeight="false" outlineLevel="0" collapsed="false">
      <c r="A32" s="4" t="s">
        <v>43</v>
      </c>
      <c r="B32" s="4" t="n">
        <v>1</v>
      </c>
      <c r="C32" s="4" t="s">
        <v>44</v>
      </c>
      <c r="D32" s="5" t="n">
        <v>4</v>
      </c>
      <c r="E32" s="5" t="n">
        <v>40</v>
      </c>
      <c r="F32" s="5" t="n">
        <v>8</v>
      </c>
      <c r="G32" s="5" t="n">
        <v>463</v>
      </c>
      <c r="H32" s="5" t="n">
        <f aca="false">E32+F32+G32</f>
        <v>511</v>
      </c>
      <c r="I32" s="5" t="n">
        <v>0</v>
      </c>
      <c r="J32" s="5" t="n">
        <f aca="false">D32</f>
        <v>4</v>
      </c>
      <c r="K32" s="5" t="n">
        <v>10</v>
      </c>
      <c r="L32" s="5" t="n">
        <v>2</v>
      </c>
    </row>
    <row r="33" customFormat="false" ht="15" hidden="false" customHeight="false" outlineLevel="0" collapsed="false">
      <c r="A33" s="4" t="s">
        <v>43</v>
      </c>
      <c r="B33" s="4" t="n">
        <v>2</v>
      </c>
      <c r="C33" s="4" t="s">
        <v>45</v>
      </c>
      <c r="D33" s="5" t="n">
        <v>4</v>
      </c>
      <c r="E33" s="5" t="n">
        <v>40</v>
      </c>
      <c r="F33" s="5" t="n">
        <v>8</v>
      </c>
      <c r="G33" s="5" t="n">
        <v>385</v>
      </c>
      <c r="H33" s="5" t="n">
        <f aca="false">E33+F33+G33</f>
        <v>433</v>
      </c>
      <c r="I33" s="5" t="n">
        <v>0</v>
      </c>
      <c r="J33" s="5" t="n">
        <f aca="false">D33</f>
        <v>4</v>
      </c>
      <c r="K33" s="5" t="n">
        <v>10</v>
      </c>
      <c r="L33" s="5" t="n">
        <v>2</v>
      </c>
    </row>
    <row r="34" customFormat="false" ht="15" hidden="false" customHeight="false" outlineLevel="0" collapsed="false">
      <c r="A34" s="4" t="s">
        <v>43</v>
      </c>
      <c r="B34" s="4" t="n">
        <v>3</v>
      </c>
      <c r="C34" s="4" t="s">
        <v>46</v>
      </c>
      <c r="D34" s="5" t="n">
        <v>4</v>
      </c>
      <c r="E34" s="5" t="n">
        <v>40</v>
      </c>
      <c r="F34" s="5" t="n">
        <v>8</v>
      </c>
      <c r="G34" s="5" t="n">
        <v>139</v>
      </c>
      <c r="H34" s="5" t="n">
        <f aca="false">E34+F34+G34</f>
        <v>187</v>
      </c>
      <c r="I34" s="5" t="n">
        <v>0</v>
      </c>
      <c r="J34" s="5" t="n">
        <f aca="false">D34</f>
        <v>4</v>
      </c>
      <c r="K34" s="5" t="n">
        <v>10</v>
      </c>
      <c r="L34" s="5" t="n">
        <v>2</v>
      </c>
    </row>
    <row r="35" customFormat="false" ht="15" hidden="false" customHeight="false" outlineLevel="0" collapsed="false">
      <c r="A35" s="4" t="s">
        <v>43</v>
      </c>
      <c r="B35" s="4" t="n">
        <v>4</v>
      </c>
      <c r="C35" s="4" t="s">
        <v>47</v>
      </c>
      <c r="D35" s="5" t="n">
        <v>4</v>
      </c>
      <c r="E35" s="5" t="n">
        <v>40</v>
      </c>
      <c r="F35" s="5" t="n">
        <v>8</v>
      </c>
      <c r="G35" s="5" t="n">
        <v>221</v>
      </c>
      <c r="H35" s="5" t="n">
        <f aca="false">E35+F35+G35</f>
        <v>269</v>
      </c>
      <c r="I35" s="5" t="n">
        <v>0</v>
      </c>
      <c r="J35" s="5" t="n">
        <f aca="false">D35</f>
        <v>4</v>
      </c>
      <c r="K35" s="5" t="n">
        <v>10</v>
      </c>
      <c r="L35" s="5" t="n">
        <v>2</v>
      </c>
    </row>
    <row r="36" customFormat="false" ht="15" hidden="false" customHeight="false" outlineLevel="0" collapsed="false">
      <c r="A36" s="4" t="s">
        <v>43</v>
      </c>
      <c r="B36" s="4" t="n">
        <v>5</v>
      </c>
      <c r="C36" s="4" t="s">
        <v>48</v>
      </c>
      <c r="D36" s="5" t="n">
        <v>4</v>
      </c>
      <c r="E36" s="5" t="n">
        <v>40</v>
      </c>
      <c r="F36" s="5" t="n">
        <v>8</v>
      </c>
      <c r="G36" s="5" t="n">
        <v>51</v>
      </c>
      <c r="H36" s="5" t="n">
        <f aca="false">E36+F36+G36</f>
        <v>99</v>
      </c>
      <c r="I36" s="5" t="n">
        <v>1</v>
      </c>
      <c r="J36" s="5" t="n">
        <f aca="false">D36</f>
        <v>4</v>
      </c>
      <c r="K36" s="5" t="n">
        <v>10</v>
      </c>
      <c r="L36" s="5" t="n">
        <v>2</v>
      </c>
    </row>
    <row r="37" customFormat="false" ht="15" hidden="false" customHeight="false" outlineLevel="0" collapsed="false">
      <c r="A37" s="4" t="s">
        <v>43</v>
      </c>
      <c r="B37" s="4" t="n">
        <v>6</v>
      </c>
      <c r="C37" s="4" t="s">
        <v>49</v>
      </c>
      <c r="D37" s="5" t="n">
        <v>4</v>
      </c>
      <c r="E37" s="5" t="n">
        <v>40</v>
      </c>
      <c r="F37" s="5" t="n">
        <v>8</v>
      </c>
      <c r="G37" s="5" t="n">
        <v>15</v>
      </c>
      <c r="H37" s="5" t="n">
        <f aca="false">E37+F37+G37</f>
        <v>63</v>
      </c>
      <c r="I37" s="5" t="n">
        <v>1</v>
      </c>
      <c r="J37" s="5" t="n">
        <f aca="false">D37</f>
        <v>4</v>
      </c>
      <c r="K37" s="5" t="n">
        <v>10</v>
      </c>
      <c r="L37" s="5" t="n">
        <v>2</v>
      </c>
    </row>
    <row r="38" customFormat="false" ht="15" hidden="false" customHeight="false" outlineLevel="0" collapsed="false">
      <c r="A38" s="4" t="s">
        <v>43</v>
      </c>
      <c r="B38" s="4" t="n">
        <v>7</v>
      </c>
      <c r="C38" s="4" t="s">
        <v>50</v>
      </c>
      <c r="D38" s="5" t="n">
        <v>4</v>
      </c>
      <c r="E38" s="5" t="n">
        <v>40</v>
      </c>
      <c r="F38" s="5" t="n">
        <v>8</v>
      </c>
      <c r="G38" s="5" t="n">
        <v>48</v>
      </c>
      <c r="H38" s="5" t="n">
        <f aca="false">E38+F38+G38</f>
        <v>96</v>
      </c>
      <c r="I38" s="5" t="n">
        <v>1</v>
      </c>
      <c r="J38" s="5" t="n">
        <f aca="false">D38</f>
        <v>4</v>
      </c>
      <c r="K38" s="5" t="n">
        <v>10</v>
      </c>
      <c r="L38" s="5" t="n">
        <v>2</v>
      </c>
    </row>
    <row r="39" customFormat="false" ht="15" hidden="false" customHeight="false" outlineLevel="0" collapsed="false">
      <c r="A39" s="4" t="s">
        <v>43</v>
      </c>
      <c r="B39" s="4" t="n">
        <v>8</v>
      </c>
      <c r="C39" s="4" t="s">
        <v>51</v>
      </c>
      <c r="D39" s="5" t="n">
        <v>4</v>
      </c>
      <c r="E39" s="5" t="n">
        <v>40</v>
      </c>
      <c r="F39" s="5" t="n">
        <v>8</v>
      </c>
      <c r="G39" s="5" t="n">
        <v>84</v>
      </c>
      <c r="H39" s="5" t="n">
        <f aca="false">E39+F39+G39</f>
        <v>132</v>
      </c>
      <c r="I39" s="5" t="n">
        <v>1</v>
      </c>
      <c r="J39" s="5" t="n">
        <f aca="false">D39</f>
        <v>4</v>
      </c>
      <c r="K39" s="5" t="n">
        <v>10</v>
      </c>
      <c r="L39" s="5" t="n">
        <v>2</v>
      </c>
    </row>
    <row r="40" customFormat="false" ht="15" hidden="false" customHeight="false" outlineLevel="0" collapsed="false">
      <c r="A40" s="4" t="s">
        <v>43</v>
      </c>
      <c r="B40" s="4" t="n">
        <v>9</v>
      </c>
      <c r="C40" s="4" t="s">
        <v>52</v>
      </c>
      <c r="D40" s="5" t="n">
        <v>4</v>
      </c>
      <c r="E40" s="5" t="n">
        <v>40</v>
      </c>
      <c r="F40" s="5" t="n">
        <v>8</v>
      </c>
      <c r="G40" s="5" t="n">
        <v>374</v>
      </c>
      <c r="H40" s="5" t="n">
        <f aca="false">E40+F40+G40</f>
        <v>422</v>
      </c>
      <c r="I40" s="5" t="n">
        <v>0</v>
      </c>
      <c r="J40" s="5" t="n">
        <f aca="false">D40</f>
        <v>4</v>
      </c>
      <c r="K40" s="5" t="n">
        <v>10</v>
      </c>
      <c r="L40" s="5" t="n">
        <v>2</v>
      </c>
    </row>
    <row r="41" customFormat="false" ht="15" hidden="false" customHeight="false" outlineLevel="0" collapsed="false">
      <c r="A41" s="4" t="s">
        <v>53</v>
      </c>
      <c r="B41" s="4" t="n">
        <v>1</v>
      </c>
      <c r="C41" s="4" t="s">
        <v>54</v>
      </c>
      <c r="D41" s="5" t="n">
        <v>4</v>
      </c>
      <c r="E41" s="5" t="n">
        <v>40</v>
      </c>
      <c r="F41" s="5" t="n">
        <v>8</v>
      </c>
      <c r="G41" s="5" t="n">
        <v>146</v>
      </c>
      <c r="H41" s="5" t="n">
        <f aca="false">E41+F41+G41</f>
        <v>194</v>
      </c>
      <c r="I41" s="5" t="n">
        <v>0</v>
      </c>
      <c r="J41" s="5" t="n">
        <f aca="false">D41</f>
        <v>4</v>
      </c>
      <c r="K41" s="5" t="n">
        <v>10</v>
      </c>
      <c r="L41" s="5" t="n">
        <v>2</v>
      </c>
    </row>
    <row r="42" customFormat="false" ht="15" hidden="false" customHeight="false" outlineLevel="0" collapsed="false">
      <c r="A42" s="4" t="s">
        <v>53</v>
      </c>
      <c r="B42" s="4" t="n">
        <v>2</v>
      </c>
      <c r="C42" s="4" t="s">
        <v>55</v>
      </c>
      <c r="D42" s="5" t="n">
        <v>4</v>
      </c>
      <c r="E42" s="5" t="n">
        <v>40</v>
      </c>
      <c r="F42" s="5" t="n">
        <v>8</v>
      </c>
      <c r="G42" s="5" t="n">
        <v>109</v>
      </c>
      <c r="H42" s="5" t="n">
        <f aca="false">E42+F42+G42</f>
        <v>157</v>
      </c>
      <c r="I42" s="5" t="n">
        <v>3</v>
      </c>
      <c r="J42" s="5" t="n">
        <f aca="false">D42</f>
        <v>4</v>
      </c>
      <c r="K42" s="5" t="n">
        <v>10</v>
      </c>
      <c r="L42" s="5" t="n">
        <v>2</v>
      </c>
    </row>
    <row r="43" customFormat="false" ht="15" hidden="false" customHeight="false" outlineLevel="0" collapsed="false">
      <c r="A43" s="4" t="s">
        <v>53</v>
      </c>
      <c r="B43" s="4" t="n">
        <v>3</v>
      </c>
      <c r="C43" s="4" t="s">
        <v>56</v>
      </c>
      <c r="D43" s="5" t="n">
        <v>4</v>
      </c>
      <c r="E43" s="5" t="n">
        <v>40</v>
      </c>
      <c r="F43" s="5" t="n">
        <v>8</v>
      </c>
      <c r="G43" s="5" t="n">
        <v>541</v>
      </c>
      <c r="H43" s="5" t="n">
        <f aca="false">E43+F43+G43</f>
        <v>589</v>
      </c>
      <c r="I43" s="5" t="n">
        <v>0</v>
      </c>
      <c r="J43" s="5" t="n">
        <f aca="false">D43</f>
        <v>4</v>
      </c>
      <c r="K43" s="5" t="n">
        <v>10</v>
      </c>
      <c r="L43" s="5" t="n">
        <v>2</v>
      </c>
    </row>
    <row r="44" customFormat="false" ht="15" hidden="false" customHeight="false" outlineLevel="0" collapsed="false">
      <c r="A44" s="4" t="s">
        <v>53</v>
      </c>
      <c r="B44" s="4" t="n">
        <v>4</v>
      </c>
      <c r="C44" s="4" t="s">
        <v>57</v>
      </c>
      <c r="D44" s="5" t="n">
        <v>4</v>
      </c>
      <c r="E44" s="5" t="n">
        <v>40</v>
      </c>
      <c r="F44" s="5" t="n">
        <v>8</v>
      </c>
      <c r="G44" s="5" t="n">
        <v>79</v>
      </c>
      <c r="H44" s="5" t="n">
        <f aca="false">E44+F44+G44</f>
        <v>127</v>
      </c>
      <c r="I44" s="5" t="n">
        <v>0</v>
      </c>
      <c r="J44" s="5" t="n">
        <f aca="false">D44</f>
        <v>4</v>
      </c>
      <c r="K44" s="5" t="n">
        <v>10</v>
      </c>
      <c r="L44" s="5" t="n">
        <v>2</v>
      </c>
    </row>
    <row r="45" customFormat="false" ht="15" hidden="false" customHeight="false" outlineLevel="0" collapsed="false">
      <c r="A45" s="4" t="s">
        <v>53</v>
      </c>
      <c r="B45" s="4" t="n">
        <v>5</v>
      </c>
      <c r="C45" s="4" t="s">
        <v>58</v>
      </c>
      <c r="D45" s="5" t="n">
        <v>4</v>
      </c>
      <c r="E45" s="5" t="n">
        <v>40</v>
      </c>
      <c r="F45" s="5" t="n">
        <v>8</v>
      </c>
      <c r="G45" s="5" t="n">
        <v>12</v>
      </c>
      <c r="H45" s="5" t="n">
        <f aca="false">E45+F45+G45</f>
        <v>60</v>
      </c>
      <c r="I45" s="5" t="n">
        <v>1</v>
      </c>
      <c r="J45" s="5" t="n">
        <f aca="false">D45</f>
        <v>4</v>
      </c>
      <c r="K45" s="5" t="n">
        <v>10</v>
      </c>
      <c r="L45" s="5" t="n">
        <v>2</v>
      </c>
    </row>
    <row r="46" customFormat="false" ht="15" hidden="false" customHeight="false" outlineLevel="0" collapsed="false">
      <c r="A46" s="4" t="s">
        <v>53</v>
      </c>
      <c r="B46" s="4" t="n">
        <v>6</v>
      </c>
      <c r="C46" s="4" t="s">
        <v>59</v>
      </c>
      <c r="D46" s="5" t="n">
        <v>4</v>
      </c>
      <c r="E46" s="5" t="n">
        <v>40</v>
      </c>
      <c r="F46" s="5" t="n">
        <v>8</v>
      </c>
      <c r="G46" s="5" t="n">
        <v>232</v>
      </c>
      <c r="H46" s="5" t="n">
        <f aca="false">E46+F46+G46</f>
        <v>280</v>
      </c>
      <c r="I46" s="5" t="n">
        <v>0</v>
      </c>
      <c r="J46" s="5" t="n">
        <f aca="false">D46</f>
        <v>4</v>
      </c>
      <c r="K46" s="5" t="n">
        <v>10</v>
      </c>
      <c r="L46" s="5" t="n">
        <v>2</v>
      </c>
    </row>
    <row r="47" customFormat="false" ht="15" hidden="false" customHeight="false" outlineLevel="0" collapsed="false">
      <c r="A47" s="4" t="s">
        <v>53</v>
      </c>
      <c r="B47" s="4" t="n">
        <v>7</v>
      </c>
      <c r="C47" s="4" t="s">
        <v>60</v>
      </c>
      <c r="D47" s="5" t="n">
        <v>4</v>
      </c>
      <c r="E47" s="5" t="n">
        <v>40</v>
      </c>
      <c r="F47" s="5" t="n">
        <v>8</v>
      </c>
      <c r="G47" s="5" t="n">
        <v>458</v>
      </c>
      <c r="H47" s="5" t="n">
        <f aca="false">E47+F47+G47</f>
        <v>506</v>
      </c>
      <c r="I47" s="5" t="n">
        <v>0</v>
      </c>
      <c r="J47" s="5" t="n">
        <f aca="false">D47</f>
        <v>4</v>
      </c>
      <c r="K47" s="5" t="n">
        <v>10</v>
      </c>
      <c r="L47" s="5" t="n">
        <v>2</v>
      </c>
    </row>
    <row r="48" customFormat="false" ht="15" hidden="false" customHeight="false" outlineLevel="0" collapsed="false">
      <c r="A48" s="4" t="s">
        <v>53</v>
      </c>
      <c r="B48" s="4" t="n">
        <v>8</v>
      </c>
      <c r="C48" s="4" t="s">
        <v>61</v>
      </c>
      <c r="D48" s="5" t="n">
        <v>4</v>
      </c>
      <c r="E48" s="5" t="n">
        <v>40</v>
      </c>
      <c r="F48" s="5" t="n">
        <v>8</v>
      </c>
      <c r="G48" s="5" t="n">
        <v>96</v>
      </c>
      <c r="H48" s="5" t="n">
        <f aca="false">E48+F48+G48</f>
        <v>144</v>
      </c>
      <c r="I48" s="5" t="n">
        <v>0</v>
      </c>
      <c r="J48" s="5" t="n">
        <f aca="false">D48</f>
        <v>4</v>
      </c>
      <c r="K48" s="5" t="n">
        <v>10</v>
      </c>
      <c r="L48" s="5" t="n">
        <v>2</v>
      </c>
    </row>
    <row r="49" customFormat="false" ht="15" hidden="false" customHeight="false" outlineLevel="0" collapsed="false">
      <c r="A49" s="4" t="s">
        <v>53</v>
      </c>
      <c r="B49" s="4" t="n">
        <v>9</v>
      </c>
      <c r="C49" s="4" t="s">
        <v>62</v>
      </c>
      <c r="D49" s="5" t="n">
        <v>4</v>
      </c>
      <c r="E49" s="5" t="n">
        <v>40</v>
      </c>
      <c r="F49" s="5" t="n">
        <v>8</v>
      </c>
      <c r="G49" s="5" t="n">
        <v>303</v>
      </c>
      <c r="H49" s="5" t="n">
        <f aca="false">E49+F49+G49</f>
        <v>351</v>
      </c>
      <c r="I49" s="5" t="n">
        <v>0</v>
      </c>
      <c r="J49" s="5" t="n">
        <f aca="false">D49</f>
        <v>4</v>
      </c>
      <c r="K49" s="5" t="n">
        <v>10</v>
      </c>
      <c r="L49" s="5" t="n">
        <v>2</v>
      </c>
    </row>
    <row r="50" customFormat="false" ht="15" hidden="false" customHeight="false" outlineLevel="0" collapsed="false">
      <c r="A50" s="4" t="s">
        <v>63</v>
      </c>
      <c r="B50" s="4" t="n">
        <v>1</v>
      </c>
      <c r="C50" s="4" t="s">
        <v>64</v>
      </c>
      <c r="D50" s="5" t="n">
        <v>4</v>
      </c>
      <c r="E50" s="5" t="n">
        <v>40</v>
      </c>
      <c r="F50" s="5" t="n">
        <v>8</v>
      </c>
      <c r="G50" s="5" t="n">
        <v>340</v>
      </c>
      <c r="H50" s="5" t="n">
        <f aca="false">E50+F50+G50</f>
        <v>388</v>
      </c>
      <c r="I50" s="5" t="n">
        <v>0</v>
      </c>
      <c r="J50" s="5" t="n">
        <f aca="false">D50</f>
        <v>4</v>
      </c>
      <c r="K50" s="5" t="n">
        <v>10</v>
      </c>
      <c r="L50" s="5" t="n">
        <v>2</v>
      </c>
    </row>
    <row r="51" customFormat="false" ht="15" hidden="false" customHeight="false" outlineLevel="0" collapsed="false">
      <c r="A51" s="4" t="s">
        <v>63</v>
      </c>
      <c r="B51" s="4" t="n">
        <v>2</v>
      </c>
      <c r="C51" s="4" t="s">
        <v>65</v>
      </c>
      <c r="D51" s="5" t="n">
        <v>4</v>
      </c>
      <c r="E51" s="5" t="n">
        <v>40</v>
      </c>
      <c r="F51" s="5" t="n">
        <v>8</v>
      </c>
      <c r="G51" s="5" t="n">
        <v>111</v>
      </c>
      <c r="H51" s="5" t="n">
        <f aca="false">E51+F51+G51</f>
        <v>159</v>
      </c>
      <c r="I51" s="5" t="n">
        <v>2</v>
      </c>
      <c r="J51" s="5" t="n">
        <f aca="false">D51</f>
        <v>4</v>
      </c>
      <c r="K51" s="5" t="n">
        <v>10</v>
      </c>
      <c r="L51" s="5" t="n">
        <v>2</v>
      </c>
    </row>
    <row r="52" customFormat="false" ht="15" hidden="false" customHeight="false" outlineLevel="0" collapsed="false">
      <c r="A52" s="4" t="s">
        <v>63</v>
      </c>
      <c r="B52" s="4" t="n">
        <v>3</v>
      </c>
      <c r="C52" s="4" t="s">
        <v>66</v>
      </c>
      <c r="D52" s="5" t="n">
        <v>4</v>
      </c>
      <c r="E52" s="5" t="n">
        <v>40</v>
      </c>
      <c r="F52" s="5" t="n">
        <v>8</v>
      </c>
      <c r="G52" s="5" t="n">
        <v>84</v>
      </c>
      <c r="H52" s="5" t="n">
        <f aca="false">E52+F52+G52</f>
        <v>132</v>
      </c>
      <c r="I52" s="5" t="n">
        <v>0</v>
      </c>
      <c r="J52" s="5" t="n">
        <f aca="false">D52</f>
        <v>4</v>
      </c>
      <c r="K52" s="5" t="n">
        <v>10</v>
      </c>
      <c r="L52" s="5" t="n">
        <v>2</v>
      </c>
    </row>
    <row r="53" customFormat="false" ht="15" hidden="false" customHeight="false" outlineLevel="0" collapsed="false">
      <c r="A53" s="4" t="s">
        <v>63</v>
      </c>
      <c r="B53" s="4" t="n">
        <v>4</v>
      </c>
      <c r="C53" s="4" t="s">
        <v>67</v>
      </c>
      <c r="D53" s="5" t="n">
        <v>4</v>
      </c>
      <c r="E53" s="5" t="n">
        <v>40</v>
      </c>
      <c r="F53" s="5" t="n">
        <v>8</v>
      </c>
      <c r="G53" s="5" t="n">
        <v>178</v>
      </c>
      <c r="H53" s="5" t="n">
        <f aca="false">E53+F53+G53</f>
        <v>226</v>
      </c>
      <c r="I53" s="5" t="n">
        <v>0</v>
      </c>
      <c r="J53" s="5" t="n">
        <f aca="false">D53</f>
        <v>4</v>
      </c>
      <c r="K53" s="5" t="n">
        <v>10</v>
      </c>
      <c r="L53" s="5" t="n">
        <v>2</v>
      </c>
    </row>
    <row r="54" customFormat="false" ht="15" hidden="false" customHeight="false" outlineLevel="0" collapsed="false">
      <c r="A54" s="4" t="s">
        <v>63</v>
      </c>
      <c r="B54" s="4" t="n">
        <v>5</v>
      </c>
      <c r="C54" s="4" t="s">
        <v>68</v>
      </c>
      <c r="D54" s="5" t="n">
        <v>4</v>
      </c>
      <c r="E54" s="5" t="n">
        <v>40</v>
      </c>
      <c r="F54" s="5" t="n">
        <v>8</v>
      </c>
      <c r="G54" s="5" t="n">
        <v>94</v>
      </c>
      <c r="H54" s="5" t="n">
        <f aca="false">E54+F54+G54</f>
        <v>142</v>
      </c>
      <c r="I54" s="5" t="n">
        <v>2</v>
      </c>
      <c r="J54" s="5" t="n">
        <f aca="false">D54</f>
        <v>4</v>
      </c>
      <c r="K54" s="5" t="n">
        <v>10</v>
      </c>
      <c r="L54" s="5" t="n">
        <v>2</v>
      </c>
    </row>
    <row r="55" customFormat="false" ht="15" hidden="false" customHeight="false" outlineLevel="0" collapsed="false">
      <c r="A55" s="4" t="s">
        <v>63</v>
      </c>
      <c r="B55" s="4" t="n">
        <v>6</v>
      </c>
      <c r="C55" s="4" t="s">
        <v>69</v>
      </c>
      <c r="D55" s="5" t="n">
        <v>4</v>
      </c>
      <c r="E55" s="5" t="n">
        <v>40</v>
      </c>
      <c r="F55" s="5" t="n">
        <v>8</v>
      </c>
      <c r="G55" s="5" t="n">
        <v>107</v>
      </c>
      <c r="H55" s="5" t="n">
        <f aca="false">E55+F55+G55</f>
        <v>155</v>
      </c>
      <c r="I55" s="5" t="n">
        <v>2</v>
      </c>
      <c r="J55" s="5" t="n">
        <f aca="false">D55</f>
        <v>4</v>
      </c>
      <c r="K55" s="5" t="n">
        <v>10</v>
      </c>
      <c r="L55" s="5" t="n">
        <v>2</v>
      </c>
    </row>
    <row r="56" customFormat="false" ht="15" hidden="false" customHeight="false" outlineLevel="0" collapsed="false">
      <c r="A56" s="4" t="s">
        <v>63</v>
      </c>
      <c r="B56" s="4" t="n">
        <v>7</v>
      </c>
      <c r="C56" s="4" t="s">
        <v>70</v>
      </c>
      <c r="D56" s="5" t="n">
        <v>4</v>
      </c>
      <c r="E56" s="5" t="n">
        <v>40</v>
      </c>
      <c r="F56" s="5" t="n">
        <v>8</v>
      </c>
      <c r="G56" s="5" t="n">
        <v>173</v>
      </c>
      <c r="H56" s="5" t="n">
        <f aca="false">E56+F56+G56</f>
        <v>221</v>
      </c>
      <c r="I56" s="5" t="n">
        <v>0</v>
      </c>
      <c r="J56" s="5" t="n">
        <f aca="false">D56</f>
        <v>4</v>
      </c>
      <c r="K56" s="5" t="n">
        <v>10</v>
      </c>
      <c r="L56" s="5" t="n">
        <v>2</v>
      </c>
    </row>
    <row r="57" customFormat="false" ht="15" hidden="false" customHeight="false" outlineLevel="0" collapsed="false">
      <c r="A57" s="4" t="s">
        <v>63</v>
      </c>
      <c r="B57" s="4" t="n">
        <v>8</v>
      </c>
      <c r="C57" s="4" t="s">
        <v>71</v>
      </c>
      <c r="D57" s="5" t="n">
        <v>4</v>
      </c>
      <c r="E57" s="5" t="n">
        <v>40</v>
      </c>
      <c r="F57" s="5" t="n">
        <v>8</v>
      </c>
      <c r="G57" s="5" t="n">
        <v>61</v>
      </c>
      <c r="H57" s="5" t="n">
        <f aca="false">E57+F57+G57</f>
        <v>109</v>
      </c>
      <c r="I57" s="5" t="n">
        <v>2</v>
      </c>
      <c r="J57" s="5" t="n">
        <f aca="false">D57</f>
        <v>4</v>
      </c>
      <c r="K57" s="5" t="n">
        <v>10</v>
      </c>
      <c r="L57" s="5" t="n">
        <v>2</v>
      </c>
    </row>
    <row r="58" customFormat="false" ht="15" hidden="false" customHeight="false" outlineLevel="0" collapsed="false">
      <c r="A58" s="4" t="s">
        <v>63</v>
      </c>
      <c r="B58" s="4" t="n">
        <v>9</v>
      </c>
      <c r="C58" s="4" t="s">
        <v>72</v>
      </c>
      <c r="D58" s="5" t="n">
        <v>4</v>
      </c>
      <c r="E58" s="5" t="n">
        <v>40</v>
      </c>
      <c r="F58" s="5" t="n">
        <v>8</v>
      </c>
      <c r="G58" s="5" t="n">
        <v>366</v>
      </c>
      <c r="H58" s="5" t="n">
        <f aca="false">E58+F58+G58</f>
        <v>414</v>
      </c>
      <c r="I58" s="5" t="n">
        <v>0</v>
      </c>
      <c r="J58" s="5" t="n">
        <f aca="false">D58</f>
        <v>4</v>
      </c>
      <c r="K58" s="5" t="n">
        <v>10</v>
      </c>
      <c r="L58" s="5" t="n">
        <v>2</v>
      </c>
    </row>
    <row r="59" customFormat="false" ht="15" hidden="false" customHeight="false" outlineLevel="0" collapsed="false">
      <c r="A59" s="4" t="s">
        <v>73</v>
      </c>
      <c r="B59" s="4" t="n">
        <v>1</v>
      </c>
      <c r="C59" s="4" t="s">
        <v>74</v>
      </c>
      <c r="D59" s="5" t="n">
        <v>4</v>
      </c>
      <c r="E59" s="5" t="n">
        <v>40</v>
      </c>
      <c r="F59" s="5" t="n">
        <v>8</v>
      </c>
      <c r="G59" s="5" t="n">
        <v>248</v>
      </c>
      <c r="H59" s="5" t="n">
        <f aca="false">E59+F59+G59</f>
        <v>296</v>
      </c>
      <c r="I59" s="5" t="n">
        <v>0</v>
      </c>
      <c r="J59" s="5" t="n">
        <f aca="false">D59</f>
        <v>4</v>
      </c>
      <c r="K59" s="5" t="n">
        <v>10</v>
      </c>
      <c r="L59" s="5" t="n">
        <v>2</v>
      </c>
    </row>
    <row r="60" customFormat="false" ht="15" hidden="false" customHeight="false" outlineLevel="0" collapsed="false">
      <c r="A60" s="4" t="s">
        <v>73</v>
      </c>
      <c r="B60" s="4" t="n">
        <v>2</v>
      </c>
      <c r="C60" s="4" t="s">
        <v>75</v>
      </c>
      <c r="D60" s="5" t="n">
        <v>4</v>
      </c>
      <c r="E60" s="5" t="n">
        <v>40</v>
      </c>
      <c r="F60" s="5" t="n">
        <v>8</v>
      </c>
      <c r="G60" s="5" t="n">
        <v>54</v>
      </c>
      <c r="H60" s="5" t="n">
        <f aca="false">E60+F60+G60</f>
        <v>102</v>
      </c>
      <c r="I60" s="5" t="n">
        <v>1</v>
      </c>
      <c r="J60" s="5" t="n">
        <f aca="false">D60</f>
        <v>4</v>
      </c>
      <c r="K60" s="5" t="n">
        <v>10</v>
      </c>
      <c r="L60" s="5" t="n">
        <v>2</v>
      </c>
    </row>
    <row r="61" customFormat="false" ht="15" hidden="false" customHeight="false" outlineLevel="0" collapsed="false">
      <c r="A61" s="4" t="s">
        <v>73</v>
      </c>
      <c r="B61" s="4" t="n">
        <v>3</v>
      </c>
      <c r="C61" s="4" t="s">
        <v>69</v>
      </c>
      <c r="D61" s="5" t="n">
        <v>4</v>
      </c>
      <c r="E61" s="5" t="n">
        <v>40</v>
      </c>
      <c r="F61" s="5" t="n">
        <v>8</v>
      </c>
      <c r="G61" s="5" t="n">
        <v>61</v>
      </c>
      <c r="H61" s="5" t="n">
        <f aca="false">E61+F61+G61</f>
        <v>109</v>
      </c>
      <c r="I61" s="5" t="n">
        <v>2</v>
      </c>
      <c r="J61" s="5" t="n">
        <f aca="false">D61</f>
        <v>4</v>
      </c>
      <c r="K61" s="5" t="n">
        <v>10</v>
      </c>
      <c r="L61" s="5" t="n">
        <v>2</v>
      </c>
    </row>
    <row r="62" customFormat="false" ht="15" hidden="false" customHeight="false" outlineLevel="0" collapsed="false">
      <c r="A62" s="4" t="s">
        <v>73</v>
      </c>
      <c r="B62" s="4" t="n">
        <v>4</v>
      </c>
      <c r="C62" s="4" t="s">
        <v>71</v>
      </c>
      <c r="D62" s="5" t="n">
        <v>4</v>
      </c>
      <c r="E62" s="5" t="n">
        <v>40</v>
      </c>
      <c r="F62" s="5" t="n">
        <v>8</v>
      </c>
      <c r="G62" s="5" t="n">
        <v>130</v>
      </c>
      <c r="H62" s="5" t="n">
        <f aca="false">E62+F62+G62</f>
        <v>178</v>
      </c>
      <c r="I62" s="5" t="n">
        <v>2</v>
      </c>
      <c r="J62" s="5" t="n">
        <f aca="false">D62</f>
        <v>4</v>
      </c>
      <c r="K62" s="5" t="n">
        <v>10</v>
      </c>
      <c r="L62" s="5" t="n">
        <v>2</v>
      </c>
    </row>
    <row r="63" customFormat="false" ht="15" hidden="false" customHeight="false" outlineLevel="0" collapsed="false">
      <c r="A63" s="4" t="s">
        <v>73</v>
      </c>
      <c r="B63" s="4" t="n">
        <v>5</v>
      </c>
      <c r="C63" s="4" t="s">
        <v>76</v>
      </c>
      <c r="D63" s="5" t="n">
        <v>4</v>
      </c>
      <c r="E63" s="5" t="n">
        <v>40</v>
      </c>
      <c r="F63" s="5" t="n">
        <v>8</v>
      </c>
      <c r="G63" s="5" t="n">
        <v>77</v>
      </c>
      <c r="H63" s="5" t="n">
        <f aca="false">E63+F63+G63</f>
        <v>125</v>
      </c>
      <c r="I63" s="5" t="n">
        <v>2</v>
      </c>
      <c r="J63" s="5" t="n">
        <f aca="false">D63</f>
        <v>4</v>
      </c>
      <c r="K63" s="5" t="n">
        <v>10</v>
      </c>
      <c r="L63" s="5" t="n">
        <v>2</v>
      </c>
    </row>
    <row r="64" customFormat="false" ht="15" hidden="false" customHeight="false" outlineLevel="0" collapsed="false">
      <c r="A64" s="4" t="s">
        <v>73</v>
      </c>
      <c r="B64" s="4" t="n">
        <v>6</v>
      </c>
      <c r="C64" s="4" t="s">
        <v>77</v>
      </c>
      <c r="D64" s="5" t="n">
        <v>4</v>
      </c>
      <c r="E64" s="5" t="n">
        <v>40</v>
      </c>
      <c r="F64" s="5" t="n">
        <v>8</v>
      </c>
      <c r="G64" s="5" t="n">
        <v>42</v>
      </c>
      <c r="H64" s="5" t="n">
        <f aca="false">E64+F64+G64</f>
        <v>90</v>
      </c>
      <c r="I64" s="5" t="n">
        <v>1</v>
      </c>
      <c r="J64" s="5" t="n">
        <f aca="false">D64</f>
        <v>4</v>
      </c>
      <c r="K64" s="5" t="n">
        <v>10</v>
      </c>
      <c r="L64" s="5" t="n">
        <v>2</v>
      </c>
    </row>
    <row r="65" customFormat="false" ht="15" hidden="false" customHeight="false" outlineLevel="0" collapsed="false">
      <c r="A65" s="4" t="s">
        <v>73</v>
      </c>
      <c r="B65" s="4" t="n">
        <v>7</v>
      </c>
      <c r="C65" s="4" t="s">
        <v>78</v>
      </c>
      <c r="D65" s="5" t="n">
        <v>4</v>
      </c>
      <c r="E65" s="5" t="n">
        <v>40</v>
      </c>
      <c r="F65" s="5" t="n">
        <v>8</v>
      </c>
      <c r="G65" s="5" t="n">
        <v>528</v>
      </c>
      <c r="H65" s="5" t="n">
        <f aca="false">E65+F65+G65</f>
        <v>576</v>
      </c>
      <c r="I65" s="5" t="n">
        <v>0</v>
      </c>
      <c r="J65" s="5" t="n">
        <f aca="false">D65</f>
        <v>4</v>
      </c>
      <c r="K65" s="5" t="n">
        <v>10</v>
      </c>
      <c r="L65" s="5" t="n">
        <v>2</v>
      </c>
    </row>
    <row r="66" customFormat="false" ht="15" hidden="false" customHeight="false" outlineLevel="0" collapsed="false">
      <c r="A66" s="4" t="s">
        <v>73</v>
      </c>
      <c r="B66" s="4" t="n">
        <v>8</v>
      </c>
      <c r="C66" s="4" t="s">
        <v>79</v>
      </c>
      <c r="D66" s="5" t="n">
        <v>4</v>
      </c>
      <c r="E66" s="5" t="n">
        <v>40</v>
      </c>
      <c r="F66" s="5" t="n">
        <v>8</v>
      </c>
      <c r="G66" s="5" t="n">
        <v>23</v>
      </c>
      <c r="H66" s="5" t="n">
        <f aca="false">E66+F66+G66</f>
        <v>71</v>
      </c>
      <c r="I66" s="5" t="n">
        <v>1</v>
      </c>
      <c r="J66" s="5" t="n">
        <f aca="false">D66</f>
        <v>4</v>
      </c>
      <c r="K66" s="5" t="n">
        <v>10</v>
      </c>
      <c r="L66" s="5" t="n">
        <v>2</v>
      </c>
    </row>
    <row r="67" customFormat="false" ht="15" hidden="false" customHeight="false" outlineLevel="0" collapsed="false">
      <c r="A67" s="4" t="s">
        <v>73</v>
      </c>
      <c r="B67" s="4" t="n">
        <v>9</v>
      </c>
      <c r="C67" s="4" t="s">
        <v>80</v>
      </c>
      <c r="D67" s="5" t="n">
        <v>4</v>
      </c>
      <c r="E67" s="5" t="n">
        <v>40</v>
      </c>
      <c r="F67" s="5" t="n">
        <v>8</v>
      </c>
      <c r="G67" s="5" t="n">
        <v>329</v>
      </c>
      <c r="H67" s="5" t="n">
        <f aca="false">E67+F67+G67</f>
        <v>377</v>
      </c>
      <c r="I67" s="5" t="n">
        <v>0</v>
      </c>
      <c r="J67" s="5" t="n">
        <f aca="false">D67</f>
        <v>4</v>
      </c>
      <c r="K67" s="5" t="n">
        <v>10</v>
      </c>
      <c r="L67" s="5" t="n">
        <v>2</v>
      </c>
    </row>
    <row r="68" customFormat="false" ht="15" hidden="false" customHeight="false" outlineLevel="0" collapsed="false">
      <c r="A68" s="4" t="s">
        <v>81</v>
      </c>
      <c r="B68" s="4" t="n">
        <v>1</v>
      </c>
      <c r="C68" s="4" t="s">
        <v>82</v>
      </c>
      <c r="D68" s="5" t="n">
        <v>4</v>
      </c>
      <c r="E68" s="5" t="n">
        <v>40</v>
      </c>
      <c r="F68" s="5" t="n">
        <v>8</v>
      </c>
      <c r="G68" s="5" t="n">
        <v>186</v>
      </c>
      <c r="H68" s="5" t="n">
        <f aca="false">E68+F68+G68</f>
        <v>234</v>
      </c>
      <c r="I68" s="5" t="n">
        <v>0</v>
      </c>
      <c r="J68" s="5" t="n">
        <f aca="false">D68</f>
        <v>4</v>
      </c>
      <c r="K68" s="5" t="n">
        <v>10</v>
      </c>
      <c r="L68" s="5" t="n">
        <v>2</v>
      </c>
    </row>
    <row r="69" customFormat="false" ht="15" hidden="false" customHeight="false" outlineLevel="0" collapsed="false">
      <c r="A69" s="4" t="s">
        <v>81</v>
      </c>
      <c r="B69" s="4" t="n">
        <v>2</v>
      </c>
      <c r="C69" s="4" t="s">
        <v>83</v>
      </c>
      <c r="D69" s="5" t="n">
        <v>4</v>
      </c>
      <c r="E69" s="5" t="n">
        <v>40</v>
      </c>
      <c r="F69" s="5" t="n">
        <v>8</v>
      </c>
      <c r="G69" s="5" t="n">
        <v>72</v>
      </c>
      <c r="H69" s="5" t="n">
        <f aca="false">E69+F69+G69</f>
        <v>120</v>
      </c>
      <c r="I69" s="5" t="n">
        <v>1</v>
      </c>
      <c r="J69" s="5" t="n">
        <f aca="false">D69</f>
        <v>4</v>
      </c>
      <c r="K69" s="5" t="n">
        <v>10</v>
      </c>
      <c r="L69" s="5" t="n">
        <v>2</v>
      </c>
    </row>
    <row r="70" customFormat="false" ht="15" hidden="false" customHeight="false" outlineLevel="0" collapsed="false">
      <c r="A70" s="4" t="s">
        <v>81</v>
      </c>
      <c r="B70" s="4" t="n">
        <v>3</v>
      </c>
      <c r="C70" s="4" t="s">
        <v>84</v>
      </c>
      <c r="D70" s="5" t="n">
        <v>4</v>
      </c>
      <c r="E70" s="5" t="n">
        <v>40</v>
      </c>
      <c r="F70" s="5" t="n">
        <v>8</v>
      </c>
      <c r="G70" s="5" t="n">
        <v>88</v>
      </c>
      <c r="H70" s="5" t="n">
        <f aca="false">E70+F70+G70</f>
        <v>136</v>
      </c>
      <c r="I70" s="5" t="n">
        <v>0</v>
      </c>
      <c r="J70" s="5" t="n">
        <f aca="false">D70</f>
        <v>4</v>
      </c>
      <c r="K70" s="5" t="n">
        <v>10</v>
      </c>
      <c r="L70" s="5" t="n">
        <v>2</v>
      </c>
    </row>
    <row r="71" customFormat="false" ht="15" hidden="false" customHeight="false" outlineLevel="0" collapsed="false">
      <c r="A71" s="4" t="s">
        <v>81</v>
      </c>
      <c r="B71" s="4" t="n">
        <v>4</v>
      </c>
      <c r="C71" s="4" t="s">
        <v>85</v>
      </c>
      <c r="D71" s="5" t="n">
        <v>4</v>
      </c>
      <c r="E71" s="5" t="n">
        <v>40</v>
      </c>
      <c r="F71" s="5" t="n">
        <v>8</v>
      </c>
      <c r="G71" s="5" t="n">
        <v>69</v>
      </c>
      <c r="H71" s="5" t="n">
        <f aca="false">E71+F71+G71</f>
        <v>117</v>
      </c>
      <c r="I71" s="5" t="n">
        <v>2</v>
      </c>
      <c r="J71" s="5" t="n">
        <f aca="false">D71</f>
        <v>4</v>
      </c>
      <c r="K71" s="5" t="n">
        <v>10</v>
      </c>
      <c r="L71" s="5" t="n">
        <v>2</v>
      </c>
    </row>
    <row r="72" customFormat="false" ht="15" hidden="false" customHeight="false" outlineLevel="0" collapsed="false">
      <c r="A72" s="4" t="s">
        <v>81</v>
      </c>
      <c r="B72" s="4" t="n">
        <v>5</v>
      </c>
      <c r="C72" s="4" t="s">
        <v>86</v>
      </c>
      <c r="D72" s="5" t="n">
        <v>4</v>
      </c>
      <c r="E72" s="5" t="n">
        <v>40</v>
      </c>
      <c r="F72" s="5" t="n">
        <v>8</v>
      </c>
      <c r="G72" s="5" t="n">
        <v>0</v>
      </c>
      <c r="H72" s="5" t="n">
        <f aca="false">E72+F72+G72</f>
        <v>48</v>
      </c>
      <c r="I72" s="5" t="n">
        <v>4</v>
      </c>
      <c r="J72" s="5" t="n">
        <f aca="false">D72</f>
        <v>4</v>
      </c>
      <c r="K72" s="5" t="n">
        <v>10</v>
      </c>
      <c r="L72" s="5" t="n">
        <v>2</v>
      </c>
    </row>
    <row r="73" customFormat="false" ht="15" hidden="false" customHeight="false" outlineLevel="0" collapsed="false">
      <c r="A73" s="4" t="s">
        <v>81</v>
      </c>
      <c r="B73" s="4" t="n">
        <v>6</v>
      </c>
      <c r="C73" s="4" t="s">
        <v>87</v>
      </c>
      <c r="D73" s="5" t="n">
        <v>4</v>
      </c>
      <c r="E73" s="5" t="n">
        <v>40</v>
      </c>
      <c r="F73" s="5" t="n">
        <v>8</v>
      </c>
      <c r="G73" s="5" t="n">
        <v>484</v>
      </c>
      <c r="H73" s="5" t="n">
        <f aca="false">E73+F73+G73</f>
        <v>532</v>
      </c>
      <c r="I73" s="5" t="n">
        <v>0</v>
      </c>
      <c r="J73" s="5" t="n">
        <f aca="false">D73</f>
        <v>4</v>
      </c>
      <c r="K73" s="5" t="n">
        <v>10</v>
      </c>
      <c r="L73" s="5" t="n">
        <v>2</v>
      </c>
    </row>
    <row r="74" customFormat="false" ht="15" hidden="false" customHeight="false" outlineLevel="0" collapsed="false">
      <c r="A74" s="4" t="s">
        <v>81</v>
      </c>
      <c r="B74" s="4" t="n">
        <v>7</v>
      </c>
      <c r="C74" s="4" t="s">
        <v>88</v>
      </c>
      <c r="D74" s="5" t="n">
        <v>4</v>
      </c>
      <c r="E74" s="5" t="n">
        <v>40</v>
      </c>
      <c r="F74" s="5" t="n">
        <v>8</v>
      </c>
      <c r="G74" s="5" t="n">
        <v>302</v>
      </c>
      <c r="H74" s="5" t="n">
        <f aca="false">E74+F74+G74</f>
        <v>350</v>
      </c>
      <c r="I74" s="5" t="n">
        <v>1</v>
      </c>
      <c r="J74" s="5" t="n">
        <f aca="false">D74</f>
        <v>4</v>
      </c>
      <c r="K74" s="5" t="n">
        <v>10</v>
      </c>
      <c r="L74" s="5" t="n">
        <v>2</v>
      </c>
    </row>
    <row r="75" customFormat="false" ht="15" hidden="false" customHeight="false" outlineLevel="0" collapsed="false">
      <c r="A75" s="4" t="s">
        <v>81</v>
      </c>
      <c r="B75" s="4" t="n">
        <v>8</v>
      </c>
      <c r="C75" s="4" t="s">
        <v>89</v>
      </c>
      <c r="D75" s="5" t="n">
        <v>4</v>
      </c>
      <c r="E75" s="5" t="n">
        <v>40</v>
      </c>
      <c r="F75" s="5" t="n">
        <v>8</v>
      </c>
      <c r="G75" s="5" t="n">
        <v>746</v>
      </c>
      <c r="H75" s="5" t="n">
        <f aca="false">E75+F75+G75</f>
        <v>794</v>
      </c>
      <c r="I75" s="5" t="n">
        <v>0</v>
      </c>
      <c r="J75" s="5" t="n">
        <f aca="false">D75</f>
        <v>4</v>
      </c>
      <c r="K75" s="5" t="n">
        <v>10</v>
      </c>
      <c r="L75" s="5" t="n">
        <v>2</v>
      </c>
    </row>
    <row r="76" customFormat="false" ht="15" hidden="false" customHeight="false" outlineLevel="0" collapsed="false">
      <c r="A76" s="4" t="s">
        <v>81</v>
      </c>
      <c r="B76" s="4" t="n">
        <v>9</v>
      </c>
      <c r="C76" s="4" t="s">
        <v>90</v>
      </c>
      <c r="D76" s="5" t="n">
        <v>4</v>
      </c>
      <c r="E76" s="5" t="n">
        <v>40</v>
      </c>
      <c r="F76" s="5" t="n">
        <v>8</v>
      </c>
      <c r="G76" s="5" t="n">
        <v>830</v>
      </c>
      <c r="H76" s="5" t="n">
        <f aca="false">E76+F76+G76</f>
        <v>878</v>
      </c>
      <c r="I76" s="5" t="n">
        <v>0</v>
      </c>
      <c r="J76" s="5" t="n">
        <f aca="false">D76</f>
        <v>4</v>
      </c>
      <c r="K76" s="5" t="n">
        <v>10</v>
      </c>
      <c r="L76" s="5" t="n">
        <v>2</v>
      </c>
    </row>
    <row r="77" customFormat="false" ht="15" hidden="false" customHeight="false" outlineLevel="0" collapsed="false">
      <c r="A77" s="4" t="s">
        <v>91</v>
      </c>
      <c r="B77" s="4" t="n">
        <v>1</v>
      </c>
      <c r="C77" s="4" t="s">
        <v>92</v>
      </c>
      <c r="D77" s="5" t="n">
        <v>4</v>
      </c>
      <c r="E77" s="5" t="n">
        <v>40</v>
      </c>
      <c r="F77" s="5" t="n">
        <v>8</v>
      </c>
      <c r="G77" s="5" t="n">
        <v>960</v>
      </c>
      <c r="H77" s="5" t="n">
        <f aca="false">E77+F77+G77</f>
        <v>1008</v>
      </c>
      <c r="I77" s="5" t="n">
        <v>0</v>
      </c>
      <c r="J77" s="5" t="n">
        <f aca="false">D77</f>
        <v>4</v>
      </c>
      <c r="K77" s="5" t="n">
        <v>10</v>
      </c>
      <c r="L77" s="5" t="n">
        <v>2</v>
      </c>
    </row>
    <row r="78" customFormat="false" ht="15" hidden="false" customHeight="false" outlineLevel="0" collapsed="false">
      <c r="A78" s="4" t="s">
        <v>91</v>
      </c>
      <c r="B78" s="4" t="n">
        <v>2</v>
      </c>
      <c r="C78" s="4" t="s">
        <v>93</v>
      </c>
      <c r="D78" s="5" t="n">
        <v>4</v>
      </c>
      <c r="E78" s="5" t="n">
        <v>40</v>
      </c>
      <c r="F78" s="5" t="n">
        <v>8</v>
      </c>
      <c r="G78" s="5" t="n">
        <v>426</v>
      </c>
      <c r="H78" s="5" t="n">
        <f aca="false">E78+F78+G78</f>
        <v>474</v>
      </c>
      <c r="I78" s="5" t="n">
        <v>1</v>
      </c>
      <c r="J78" s="5" t="n">
        <f aca="false">D78</f>
        <v>4</v>
      </c>
      <c r="K78" s="5" t="n">
        <v>10</v>
      </c>
      <c r="L78" s="5" t="n">
        <v>2</v>
      </c>
    </row>
    <row r="79" customFormat="false" ht="15" hidden="false" customHeight="false" outlineLevel="0" collapsed="false">
      <c r="A79" s="4" t="s">
        <v>91</v>
      </c>
      <c r="B79" s="4" t="n">
        <v>3</v>
      </c>
      <c r="C79" s="4" t="s">
        <v>94</v>
      </c>
      <c r="D79" s="5" t="n">
        <v>4</v>
      </c>
      <c r="E79" s="5" t="n">
        <v>40</v>
      </c>
      <c r="F79" s="5" t="n">
        <v>8</v>
      </c>
      <c r="G79" s="5" t="n">
        <v>544</v>
      </c>
      <c r="H79" s="5" t="n">
        <f aca="false">E79+F79+G79</f>
        <v>592</v>
      </c>
      <c r="I79" s="5" t="n">
        <v>1</v>
      </c>
      <c r="J79" s="5" t="n">
        <f aca="false">D79</f>
        <v>4</v>
      </c>
      <c r="K79" s="5" t="n">
        <v>10</v>
      </c>
      <c r="L79" s="5" t="n">
        <v>2</v>
      </c>
    </row>
    <row r="80" customFormat="false" ht="15" hidden="false" customHeight="false" outlineLevel="0" collapsed="false">
      <c r="A80" s="4" t="s">
        <v>91</v>
      </c>
      <c r="B80" s="4" t="n">
        <v>4</v>
      </c>
      <c r="C80" s="4" t="s">
        <v>95</v>
      </c>
      <c r="D80" s="5" t="n">
        <v>4</v>
      </c>
      <c r="E80" s="5" t="n">
        <v>40</v>
      </c>
      <c r="F80" s="5" t="n">
        <v>8</v>
      </c>
      <c r="G80" s="5" t="n">
        <v>519</v>
      </c>
      <c r="H80" s="5" t="n">
        <f aca="false">E80+F80+G80</f>
        <v>567</v>
      </c>
      <c r="I80" s="5" t="n">
        <v>0</v>
      </c>
      <c r="J80" s="5" t="n">
        <f aca="false">D80</f>
        <v>4</v>
      </c>
      <c r="K80" s="5" t="n">
        <v>10</v>
      </c>
      <c r="L80" s="5" t="n">
        <v>2</v>
      </c>
    </row>
    <row r="81" customFormat="false" ht="15" hidden="false" customHeight="false" outlineLevel="0" collapsed="false">
      <c r="A81" s="4" t="s">
        <v>91</v>
      </c>
      <c r="B81" s="4" t="n">
        <v>5</v>
      </c>
      <c r="C81" s="4" t="s">
        <v>96</v>
      </c>
      <c r="D81" s="5" t="n">
        <v>4</v>
      </c>
      <c r="E81" s="5" t="n">
        <v>40</v>
      </c>
      <c r="F81" s="5" t="n">
        <v>8</v>
      </c>
      <c r="G81" s="5" t="n">
        <v>195</v>
      </c>
      <c r="H81" s="5" t="n">
        <f aca="false">E81+F81+G81</f>
        <v>243</v>
      </c>
      <c r="I81" s="5" t="n">
        <v>2</v>
      </c>
      <c r="J81" s="5" t="n">
        <f aca="false">D81</f>
        <v>4</v>
      </c>
      <c r="K81" s="5" t="n">
        <v>10</v>
      </c>
      <c r="L81" s="5" t="n">
        <v>2</v>
      </c>
    </row>
    <row r="82" customFormat="false" ht="15" hidden="false" customHeight="false" outlineLevel="0" collapsed="false">
      <c r="A82" s="4" t="s">
        <v>91</v>
      </c>
      <c r="B82" s="4" t="n">
        <v>6</v>
      </c>
      <c r="C82" s="4" t="s">
        <v>97</v>
      </c>
      <c r="D82" s="5" t="n">
        <v>4</v>
      </c>
      <c r="E82" s="5" t="n">
        <v>40</v>
      </c>
      <c r="F82" s="5" t="n">
        <v>8</v>
      </c>
      <c r="G82" s="5" t="n">
        <v>541</v>
      </c>
      <c r="H82" s="5" t="n">
        <f aca="false">E82+F82+G82</f>
        <v>589</v>
      </c>
      <c r="I82" s="5" t="n">
        <v>0</v>
      </c>
      <c r="J82" s="5" t="n">
        <f aca="false">D82</f>
        <v>4</v>
      </c>
      <c r="K82" s="5" t="n">
        <v>10</v>
      </c>
      <c r="L82" s="5" t="n">
        <v>2</v>
      </c>
    </row>
    <row r="83" customFormat="false" ht="15" hidden="false" customHeight="false" outlineLevel="0" collapsed="false">
      <c r="A83" s="4" t="s">
        <v>91</v>
      </c>
      <c r="B83" s="4" t="n">
        <v>7</v>
      </c>
      <c r="C83" s="4" t="s">
        <v>98</v>
      </c>
      <c r="D83" s="5" t="n">
        <v>4</v>
      </c>
      <c r="E83" s="5" t="n">
        <v>40</v>
      </c>
      <c r="F83" s="5" t="n">
        <v>8</v>
      </c>
      <c r="G83" s="5" t="n">
        <v>938</v>
      </c>
      <c r="H83" s="5" t="n">
        <f aca="false">E83+F83+G83</f>
        <v>986</v>
      </c>
      <c r="I83" s="5" t="n">
        <v>0</v>
      </c>
      <c r="J83" s="5" t="n">
        <f aca="false">D83</f>
        <v>4</v>
      </c>
      <c r="K83" s="5" t="n">
        <v>10</v>
      </c>
      <c r="L83" s="5" t="n">
        <v>2</v>
      </c>
    </row>
    <row r="84" customFormat="false" ht="15" hidden="false" customHeight="false" outlineLevel="0" collapsed="false">
      <c r="A84" s="4" t="s">
        <v>91</v>
      </c>
      <c r="B84" s="4" t="n">
        <v>8</v>
      </c>
      <c r="C84" s="4" t="s">
        <v>99</v>
      </c>
      <c r="D84" s="5" t="n">
        <v>4</v>
      </c>
      <c r="E84" s="5" t="n">
        <v>40</v>
      </c>
      <c r="F84" s="5" t="n">
        <v>8</v>
      </c>
      <c r="G84" s="5" t="n">
        <v>852</v>
      </c>
      <c r="H84" s="5" t="n">
        <f aca="false">E84+F84+G84</f>
        <v>900</v>
      </c>
      <c r="I84" s="5" t="n">
        <v>0</v>
      </c>
      <c r="J84" s="5" t="n">
        <f aca="false">D84</f>
        <v>4</v>
      </c>
      <c r="K84" s="5" t="n">
        <v>10</v>
      </c>
      <c r="L84" s="5" t="n">
        <v>2</v>
      </c>
    </row>
    <row r="85" customFormat="false" ht="15" hidden="false" customHeight="false" outlineLevel="0" collapsed="false">
      <c r="A85" s="4" t="s">
        <v>91</v>
      </c>
      <c r="B85" s="4" t="n">
        <v>9</v>
      </c>
      <c r="C85" s="4" t="s">
        <v>100</v>
      </c>
      <c r="D85" s="5" t="n">
        <v>4</v>
      </c>
      <c r="E85" s="5" t="n">
        <v>40</v>
      </c>
      <c r="F85" s="5" t="n">
        <v>8</v>
      </c>
      <c r="G85" s="5" t="n">
        <v>332</v>
      </c>
      <c r="H85" s="5" t="n">
        <f aca="false">E85+F85+G85</f>
        <v>380</v>
      </c>
      <c r="I85" s="5" t="n">
        <v>0</v>
      </c>
      <c r="J85" s="5" t="n">
        <f aca="false">D85</f>
        <v>4</v>
      </c>
      <c r="K85" s="5" t="n">
        <v>10</v>
      </c>
      <c r="L85" s="5" t="n">
        <v>2</v>
      </c>
    </row>
    <row r="86" customFormat="false" ht="15" hidden="false" customHeight="false" outlineLevel="0" collapsed="false">
      <c r="A86" s="4" t="s">
        <v>101</v>
      </c>
      <c r="B86" s="4" t="n">
        <v>1</v>
      </c>
      <c r="C86" s="4" t="s">
        <v>102</v>
      </c>
      <c r="D86" s="5" t="n">
        <v>4</v>
      </c>
      <c r="E86" s="5" t="n">
        <v>40</v>
      </c>
      <c r="F86" s="5" t="n">
        <v>8</v>
      </c>
      <c r="G86" s="5" t="n">
        <v>654</v>
      </c>
      <c r="H86" s="5" t="n">
        <f aca="false">E86+F86+G86</f>
        <v>702</v>
      </c>
      <c r="I86" s="5" t="n">
        <v>0</v>
      </c>
      <c r="J86" s="5" t="n">
        <f aca="false">D86</f>
        <v>4</v>
      </c>
      <c r="K86" s="5" t="n">
        <v>10</v>
      </c>
      <c r="L86" s="5" t="n">
        <v>2</v>
      </c>
    </row>
    <row r="87" customFormat="false" ht="15" hidden="false" customHeight="false" outlineLevel="0" collapsed="false">
      <c r="A87" s="4" t="s">
        <v>101</v>
      </c>
      <c r="B87" s="4" t="n">
        <v>2</v>
      </c>
      <c r="C87" s="4" t="s">
        <v>103</v>
      </c>
      <c r="D87" s="5" t="n">
        <v>4</v>
      </c>
      <c r="E87" s="5" t="n">
        <v>40</v>
      </c>
      <c r="F87" s="5" t="n">
        <v>8</v>
      </c>
      <c r="G87" s="5" t="n">
        <v>406</v>
      </c>
      <c r="H87" s="5" t="n">
        <f aca="false">E87+F87+G87</f>
        <v>454</v>
      </c>
      <c r="I87" s="5" t="n">
        <v>0</v>
      </c>
      <c r="J87" s="5" t="n">
        <f aca="false">D87</f>
        <v>4</v>
      </c>
      <c r="K87" s="5" t="n">
        <v>10</v>
      </c>
      <c r="L87" s="5" t="n">
        <v>2</v>
      </c>
    </row>
    <row r="88" customFormat="false" ht="15" hidden="false" customHeight="false" outlineLevel="0" collapsed="false">
      <c r="A88" s="4" t="s">
        <v>101</v>
      </c>
      <c r="B88" s="4" t="n">
        <v>3</v>
      </c>
      <c r="C88" s="4" t="s">
        <v>104</v>
      </c>
      <c r="D88" s="5" t="n">
        <v>4</v>
      </c>
      <c r="E88" s="5" t="n">
        <v>40</v>
      </c>
      <c r="F88" s="5" t="n">
        <v>8</v>
      </c>
      <c r="G88" s="5" t="n">
        <v>367</v>
      </c>
      <c r="H88" s="5" t="n">
        <f aca="false">E88+F88+G88</f>
        <v>415</v>
      </c>
      <c r="I88" s="5" t="n">
        <v>0</v>
      </c>
      <c r="J88" s="5" t="n">
        <f aca="false">D88</f>
        <v>4</v>
      </c>
      <c r="K88" s="5" t="n">
        <v>10</v>
      </c>
      <c r="L88" s="5" t="n">
        <v>2</v>
      </c>
    </row>
    <row r="89" customFormat="false" ht="15" hidden="false" customHeight="false" outlineLevel="0" collapsed="false">
      <c r="A89" s="4" t="s">
        <v>101</v>
      </c>
      <c r="B89" s="4" t="n">
        <v>4</v>
      </c>
      <c r="C89" s="4" t="s">
        <v>105</v>
      </c>
      <c r="D89" s="5" t="n">
        <v>4</v>
      </c>
      <c r="E89" s="5" t="n">
        <v>40</v>
      </c>
      <c r="F89" s="5" t="n">
        <v>8</v>
      </c>
      <c r="G89" s="5" t="n">
        <v>678</v>
      </c>
      <c r="H89" s="5" t="n">
        <f aca="false">E89+F89+G89</f>
        <v>726</v>
      </c>
      <c r="I89" s="5" t="n">
        <v>1</v>
      </c>
      <c r="J89" s="5" t="n">
        <f aca="false">D89</f>
        <v>4</v>
      </c>
      <c r="K89" s="5" t="n">
        <v>10</v>
      </c>
      <c r="L89" s="5" t="n">
        <v>2</v>
      </c>
    </row>
    <row r="90" customFormat="false" ht="15" hidden="false" customHeight="false" outlineLevel="0" collapsed="false">
      <c r="A90" s="4" t="s">
        <v>101</v>
      </c>
      <c r="B90" s="4" t="n">
        <v>5</v>
      </c>
      <c r="C90" s="4" t="s">
        <v>106</v>
      </c>
      <c r="D90" s="5" t="n">
        <v>4</v>
      </c>
      <c r="E90" s="5" t="n">
        <v>40</v>
      </c>
      <c r="F90" s="5" t="n">
        <v>8</v>
      </c>
      <c r="G90" s="5" t="n">
        <v>398</v>
      </c>
      <c r="H90" s="5" t="n">
        <f aca="false">E90+F90+G90</f>
        <v>446</v>
      </c>
      <c r="I90" s="5" t="n">
        <v>0</v>
      </c>
      <c r="J90" s="5" t="n">
        <f aca="false">D90</f>
        <v>4</v>
      </c>
      <c r="K90" s="5" t="n">
        <v>10</v>
      </c>
      <c r="L90" s="5" t="n">
        <v>2</v>
      </c>
    </row>
    <row r="91" customFormat="false" ht="15" hidden="false" customHeight="false" outlineLevel="0" collapsed="false">
      <c r="A91" s="4" t="s">
        <v>101</v>
      </c>
      <c r="B91" s="4" t="n">
        <v>6</v>
      </c>
      <c r="C91" s="4" t="s">
        <v>107</v>
      </c>
      <c r="D91" s="5" t="n">
        <v>4</v>
      </c>
      <c r="E91" s="5" t="n">
        <v>40</v>
      </c>
      <c r="F91" s="5" t="n">
        <v>8</v>
      </c>
      <c r="G91" s="5" t="n">
        <v>534</v>
      </c>
      <c r="H91" s="5" t="n">
        <f aca="false">E91+F91+G91</f>
        <v>582</v>
      </c>
      <c r="I91" s="5" t="n">
        <v>1</v>
      </c>
      <c r="J91" s="5" t="n">
        <f aca="false">D91</f>
        <v>4</v>
      </c>
      <c r="K91" s="5" t="n">
        <v>10</v>
      </c>
      <c r="L91" s="5" t="n">
        <v>2</v>
      </c>
    </row>
    <row r="92" customFormat="false" ht="15" hidden="false" customHeight="false" outlineLevel="0" collapsed="false">
      <c r="A92" s="4" t="s">
        <v>101</v>
      </c>
      <c r="B92" s="4" t="n">
        <v>7</v>
      </c>
      <c r="C92" s="4" t="s">
        <v>108</v>
      </c>
      <c r="D92" s="5" t="n">
        <v>4</v>
      </c>
      <c r="E92" s="5" t="n">
        <v>40</v>
      </c>
      <c r="F92" s="5" t="n">
        <v>8</v>
      </c>
      <c r="G92" s="5" t="n">
        <v>249</v>
      </c>
      <c r="H92" s="5" t="n">
        <f aca="false">E92+F92+G92</f>
        <v>297</v>
      </c>
      <c r="I92" s="5" t="n">
        <v>0</v>
      </c>
      <c r="J92" s="5" t="n">
        <f aca="false">D92</f>
        <v>4</v>
      </c>
      <c r="K92" s="5" t="n">
        <v>10</v>
      </c>
      <c r="L92" s="5" t="n">
        <v>2</v>
      </c>
    </row>
    <row r="93" customFormat="false" ht="15" hidden="false" customHeight="false" outlineLevel="0" collapsed="false">
      <c r="A93" s="4" t="s">
        <v>101</v>
      </c>
      <c r="B93" s="4" t="n">
        <v>8</v>
      </c>
      <c r="C93" s="4" t="s">
        <v>109</v>
      </c>
      <c r="D93" s="5" t="n">
        <v>4</v>
      </c>
      <c r="E93" s="5" t="n">
        <v>40</v>
      </c>
      <c r="F93" s="5" t="n">
        <v>8</v>
      </c>
      <c r="G93" s="5" t="n">
        <v>487</v>
      </c>
      <c r="H93" s="5" t="n">
        <f aca="false">E93+F93+G93</f>
        <v>535</v>
      </c>
      <c r="I93" s="5" t="n">
        <v>1</v>
      </c>
      <c r="J93" s="5" t="n">
        <f aca="false">D93</f>
        <v>4</v>
      </c>
      <c r="K93" s="5" t="n">
        <v>10</v>
      </c>
      <c r="L93" s="5" t="n">
        <v>2</v>
      </c>
    </row>
    <row r="94" customFormat="false" ht="15" hidden="false" customHeight="false" outlineLevel="0" collapsed="false">
      <c r="A94" s="4" t="s">
        <v>101</v>
      </c>
      <c r="B94" s="4" t="n">
        <v>9</v>
      </c>
      <c r="C94" s="4" t="s">
        <v>110</v>
      </c>
      <c r="D94" s="5" t="n">
        <v>4</v>
      </c>
      <c r="E94" s="5" t="n">
        <v>40</v>
      </c>
      <c r="F94" s="5" t="n">
        <v>8</v>
      </c>
      <c r="G94" s="5" t="n">
        <v>263</v>
      </c>
      <c r="H94" s="5" t="n">
        <f aca="false">E94+F94+G94</f>
        <v>311</v>
      </c>
      <c r="I94" s="5" t="n">
        <v>1</v>
      </c>
      <c r="J94" s="5" t="n">
        <f aca="false">D94</f>
        <v>4</v>
      </c>
      <c r="K94" s="5" t="n">
        <v>10</v>
      </c>
      <c r="L94" s="5" t="n">
        <v>2</v>
      </c>
    </row>
    <row r="95" customFormat="false" ht="15" hidden="false" customHeight="false" outlineLevel="0" collapsed="false">
      <c r="A95" s="6" t="s">
        <v>111</v>
      </c>
      <c r="B95" s="6"/>
      <c r="C95" s="6" t="str">
        <f aca="false">COUNTIF(B5:B94,"&gt;0")&amp;" units"</f>
        <v>90 units</v>
      </c>
      <c r="D95" s="7" t="n">
        <f aca="false">SUM(D5:D94)</f>
        <v>328</v>
      </c>
      <c r="E95" s="7" t="n">
        <f aca="false">SUM(E5:E94)</f>
        <v>3291</v>
      </c>
      <c r="F95" s="7" t="n">
        <f aca="false">SUM(F5:F94)</f>
        <v>656</v>
      </c>
      <c r="G95" s="7" t="n">
        <f aca="false">SUM(G5:G94)</f>
        <v>24880</v>
      </c>
      <c r="H95" s="7" t="n">
        <f aca="false">SUM(H5:H94)</f>
        <v>28827</v>
      </c>
      <c r="I95" s="7" t="n">
        <f aca="false">SUM(I5:I94)</f>
        <v>53</v>
      </c>
      <c r="J95" s="7" t="n">
        <f aca="false">SUM(J5:J94)</f>
        <v>328</v>
      </c>
      <c r="K95" s="7" t="n">
        <f aca="false">SUM(K5:K94)</f>
        <v>880</v>
      </c>
      <c r="L95" s="7" t="n">
        <f aca="false">SUM(L5:L94)</f>
        <v>180</v>
      </c>
    </row>
    <row r="97" customFormat="false" ht="15" hidden="false" customHeight="false" outlineLevel="0" collapsed="false">
      <c r="A97" s="8" t="s">
        <v>112</v>
      </c>
    </row>
    <row r="98" customFormat="false" ht="25.5" hidden="false" customHeight="true" outlineLevel="0" collapsed="false">
      <c r="A98" s="9" t="s">
        <v>6</v>
      </c>
      <c r="C98" s="10" t="s">
        <v>113</v>
      </c>
      <c r="D98" s="10"/>
      <c r="E98" s="10"/>
      <c r="F98" s="10"/>
      <c r="G98" s="10"/>
      <c r="H98" s="10"/>
      <c r="I98" s="10"/>
      <c r="J98" s="10"/>
      <c r="K98" s="10"/>
      <c r="L98" s="10"/>
    </row>
    <row r="99" customFormat="false" ht="25.5" hidden="false" customHeight="true" outlineLevel="0" collapsed="false">
      <c r="A99" s="9" t="s">
        <v>7</v>
      </c>
      <c r="C99" s="10" t="s">
        <v>114</v>
      </c>
      <c r="D99" s="10"/>
      <c r="E99" s="10"/>
      <c r="F99" s="10"/>
      <c r="G99" s="10"/>
      <c r="H99" s="10"/>
      <c r="I99" s="10"/>
      <c r="J99" s="10"/>
      <c r="K99" s="10"/>
      <c r="L99" s="10"/>
    </row>
    <row r="100" customFormat="false" ht="25.5" hidden="false" customHeight="true" outlineLevel="0" collapsed="false">
      <c r="A100" s="9" t="s">
        <v>8</v>
      </c>
      <c r="C100" s="10" t="s">
        <v>115</v>
      </c>
      <c r="D100" s="10"/>
      <c r="E100" s="10"/>
      <c r="F100" s="10"/>
      <c r="G100" s="10"/>
      <c r="H100" s="10"/>
      <c r="I100" s="10"/>
      <c r="J100" s="10"/>
      <c r="K100" s="10"/>
      <c r="L100" s="10"/>
    </row>
    <row r="101" customFormat="false" ht="25.5" hidden="false" customHeight="true" outlineLevel="0" collapsed="false">
      <c r="A101" s="9" t="s">
        <v>10</v>
      </c>
      <c r="C101" s="10" t="s">
        <v>116</v>
      </c>
      <c r="D101" s="10"/>
      <c r="E101" s="10"/>
      <c r="F101" s="10"/>
      <c r="G101" s="10"/>
      <c r="H101" s="10"/>
      <c r="I101" s="10"/>
      <c r="J101" s="10"/>
      <c r="K101" s="10"/>
      <c r="L101" s="10"/>
    </row>
    <row r="102" customFormat="false" ht="25.5" hidden="false" customHeight="true" outlineLevel="0" collapsed="false">
      <c r="A102" s="9" t="s">
        <v>117</v>
      </c>
      <c r="C102" s="10" t="s">
        <v>118</v>
      </c>
      <c r="D102" s="10"/>
      <c r="E102" s="10"/>
      <c r="F102" s="10"/>
      <c r="G102" s="10"/>
      <c r="H102" s="10"/>
      <c r="I102" s="10"/>
      <c r="J102" s="10"/>
      <c r="K102" s="10"/>
      <c r="L102" s="10"/>
    </row>
    <row r="103" customFormat="false" ht="25.5" hidden="false" customHeight="true" outlineLevel="0" collapsed="false">
      <c r="A103" s="9" t="s">
        <v>119</v>
      </c>
      <c r="C103" s="10" t="s">
        <v>120</v>
      </c>
      <c r="D103" s="10"/>
      <c r="E103" s="10"/>
      <c r="F103" s="10"/>
      <c r="G103" s="10"/>
      <c r="H103" s="10"/>
      <c r="I103" s="10"/>
      <c r="J103" s="10"/>
      <c r="K103" s="10"/>
      <c r="L103" s="10"/>
    </row>
    <row r="104" customFormat="false" ht="25.5" hidden="false" customHeight="true" outlineLevel="0" collapsed="false">
      <c r="A104" s="9" t="s">
        <v>121</v>
      </c>
      <c r="C104" s="10" t="s">
        <v>122</v>
      </c>
      <c r="D104" s="10"/>
      <c r="E104" s="10"/>
      <c r="F104" s="10"/>
      <c r="G104" s="10"/>
      <c r="H104" s="10"/>
      <c r="I104" s="10"/>
      <c r="J104" s="10"/>
      <c r="K104" s="10"/>
      <c r="L104" s="10"/>
    </row>
    <row r="105" customFormat="false" ht="25.5" hidden="false" customHeight="true" outlineLevel="0" collapsed="false">
      <c r="A105" s="9" t="s">
        <v>123</v>
      </c>
      <c r="C105" s="10" t="s">
        <v>124</v>
      </c>
      <c r="D105" s="10"/>
      <c r="E105" s="10"/>
      <c r="F105" s="10"/>
      <c r="G105" s="10"/>
      <c r="H105" s="10"/>
      <c r="I105" s="10"/>
      <c r="J105" s="10"/>
      <c r="K105" s="10"/>
      <c r="L105" s="10"/>
    </row>
  </sheetData>
  <mergeCells count="9">
    <mergeCell ref="A2:L2"/>
    <mergeCell ref="C98:L98"/>
    <mergeCell ref="C99:L99"/>
    <mergeCell ref="C100:L100"/>
    <mergeCell ref="C101:L101"/>
    <mergeCell ref="C102:L102"/>
    <mergeCell ref="C103:L103"/>
    <mergeCell ref="C104:L104"/>
    <mergeCell ref="C105:L10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</cols>
  <sheetData>
    <row r="1" customFormat="false" ht="17.35" hidden="false" customHeight="false" outlineLevel="0" collapsed="false">
      <c r="A1" s="1" t="s">
        <v>125</v>
      </c>
    </row>
    <row r="3" customFormat="false" ht="33.75" hidden="false" customHeight="true" outlineLevel="0" collapsed="false">
      <c r="A3" s="3" t="s">
        <v>2</v>
      </c>
      <c r="B3" s="3" t="s">
        <v>126</v>
      </c>
      <c r="C3" s="3" t="s">
        <v>127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117</v>
      </c>
      <c r="J3" s="3" t="s">
        <v>128</v>
      </c>
      <c r="K3" s="3" t="s">
        <v>13</v>
      </c>
    </row>
    <row r="4" customFormat="false" ht="15" hidden="false" customHeight="false" outlineLevel="0" collapsed="false">
      <c r="A4" s="4" t="s">
        <v>14</v>
      </c>
      <c r="B4" s="5" t="n">
        <f aca="false">COUNTIF('Problems by Unit'!$A$5:$A$94,$A4)</f>
        <v>9</v>
      </c>
      <c r="C4" s="5" t="n">
        <f aca="false">COUNTIFS('Problems by Unit'!$A$5:$A$94,$A4,'Problems by Unit'!$D$5:$D$94,"&gt;0")</f>
        <v>7</v>
      </c>
      <c r="D4" s="5" t="n">
        <f aca="false">SUMIF('Problems by Unit'!$A$5:$A$94,$A4,'Problems by Unit'!$D$5:$D$94)</f>
        <v>12</v>
      </c>
      <c r="E4" s="5" t="n">
        <f aca="false">SUMIF('Problems by Unit'!$A$5:$A$94,$A4,'Problems by Unit'!$E$5:$E$94)</f>
        <v>133</v>
      </c>
      <c r="F4" s="5" t="n">
        <f aca="false">SUMIF('Problems by Unit'!$A$5:$A$94,$A4,'Problems by Unit'!$F$5:$F$94)</f>
        <v>24</v>
      </c>
      <c r="G4" s="5" t="n">
        <f aca="false">SUMIF('Problems by Unit'!$A$5:$A$94,$A4,'Problems by Unit'!$G$5:$G$94)</f>
        <v>625</v>
      </c>
      <c r="H4" s="5" t="n">
        <f aca="false">E4+F4+G4</f>
        <v>782</v>
      </c>
      <c r="I4" s="5" t="n">
        <f aca="false">SUMIF('Problems by Unit'!$A$5:$A$94,$A4,'Problems by Unit'!$J$5:$J$94)</f>
        <v>12</v>
      </c>
      <c r="J4" s="5" t="n">
        <f aca="false">SUMIF('Problems by Unit'!$A$5:$A$94,$A4,'Problems by Unit'!$K$5:$K$94)</f>
        <v>70</v>
      </c>
      <c r="K4" s="5" t="n">
        <f aca="false">SUMIF('Problems by Unit'!$A$5:$A$94,$A4,'Problems by Unit'!$L$5:$L$94)</f>
        <v>18</v>
      </c>
    </row>
    <row r="5" customFormat="false" ht="15" hidden="false" customHeight="false" outlineLevel="0" collapsed="false">
      <c r="A5" s="4" t="s">
        <v>24</v>
      </c>
      <c r="B5" s="5" t="n">
        <f aca="false">COUNTIF('Problems by Unit'!$A$5:$A$94,$A5)</f>
        <v>9</v>
      </c>
      <c r="C5" s="5" t="n">
        <f aca="false">COUNTIFS('Problems by Unit'!$A$5:$A$94,$A5,'Problems by Unit'!$D$5:$D$94,"&gt;0")</f>
        <v>9</v>
      </c>
      <c r="D5" s="5" t="n">
        <f aca="false">SUMIF('Problems by Unit'!$A$5:$A$94,$A5,'Problems by Unit'!$D$5:$D$94)</f>
        <v>29</v>
      </c>
      <c r="E5" s="5" t="n">
        <f aca="false">SUMIF('Problems by Unit'!$A$5:$A$94,$A5,'Problems by Unit'!$E$5:$E$94)</f>
        <v>288</v>
      </c>
      <c r="F5" s="5" t="n">
        <f aca="false">SUMIF('Problems by Unit'!$A$5:$A$94,$A5,'Problems by Unit'!$F$5:$F$94)</f>
        <v>58</v>
      </c>
      <c r="G5" s="5" t="n">
        <f aca="false">SUMIF('Problems by Unit'!$A$5:$A$94,$A5,'Problems by Unit'!$G$5:$G$94)</f>
        <v>2460</v>
      </c>
      <c r="H5" s="5" t="n">
        <f aca="false">E5+F5+G5</f>
        <v>2806</v>
      </c>
      <c r="I5" s="5" t="n">
        <f aca="false">SUMIF('Problems by Unit'!$A$5:$A$94,$A5,'Problems by Unit'!$J$5:$J$94)</f>
        <v>29</v>
      </c>
      <c r="J5" s="5" t="n">
        <f aca="false">SUMIF('Problems by Unit'!$A$5:$A$94,$A5,'Problems by Unit'!$K$5:$K$94)</f>
        <v>90</v>
      </c>
      <c r="K5" s="5" t="n">
        <f aca="false">SUMIF('Problems by Unit'!$A$5:$A$94,$A5,'Problems by Unit'!$L$5:$L$94)</f>
        <v>18</v>
      </c>
    </row>
    <row r="6" customFormat="false" ht="15" hidden="false" customHeight="false" outlineLevel="0" collapsed="false">
      <c r="A6" s="4" t="s">
        <v>34</v>
      </c>
      <c r="B6" s="5" t="n">
        <f aca="false">COUNTIF('Problems by Unit'!$A$5:$A$94,$A6)</f>
        <v>9</v>
      </c>
      <c r="C6" s="5" t="n">
        <f aca="false">COUNTIFS('Problems by Unit'!$A$5:$A$94,$A6,'Problems by Unit'!$D$5:$D$94,"&gt;0")</f>
        <v>9</v>
      </c>
      <c r="D6" s="5" t="n">
        <f aca="false">SUMIF('Problems by Unit'!$A$5:$A$94,$A6,'Problems by Unit'!$D$5:$D$94)</f>
        <v>35</v>
      </c>
      <c r="E6" s="5" t="n">
        <f aca="false">SUMIF('Problems by Unit'!$A$5:$A$94,$A6,'Problems by Unit'!$E$5:$E$94)</f>
        <v>350</v>
      </c>
      <c r="F6" s="5" t="n">
        <f aca="false">SUMIF('Problems by Unit'!$A$5:$A$94,$A6,'Problems by Unit'!$F$5:$F$94)</f>
        <v>70</v>
      </c>
      <c r="G6" s="5" t="n">
        <f aca="false">SUMIF('Problems by Unit'!$A$5:$A$94,$A6,'Problems by Unit'!$G$5:$G$94)</f>
        <v>2913</v>
      </c>
      <c r="H6" s="5" t="n">
        <f aca="false">E6+F6+G6</f>
        <v>3333</v>
      </c>
      <c r="I6" s="5" t="n">
        <f aca="false">SUMIF('Problems by Unit'!$A$5:$A$94,$A6,'Problems by Unit'!$J$5:$J$94)</f>
        <v>35</v>
      </c>
      <c r="J6" s="5" t="n">
        <f aca="false">SUMIF('Problems by Unit'!$A$5:$A$94,$A6,'Problems by Unit'!$K$5:$K$94)</f>
        <v>90</v>
      </c>
      <c r="K6" s="5" t="n">
        <f aca="false">SUMIF('Problems by Unit'!$A$5:$A$94,$A6,'Problems by Unit'!$L$5:$L$94)</f>
        <v>18</v>
      </c>
    </row>
    <row r="7" customFormat="false" ht="15" hidden="false" customHeight="false" outlineLevel="0" collapsed="false">
      <c r="A7" s="4" t="s">
        <v>43</v>
      </c>
      <c r="B7" s="5" t="n">
        <f aca="false">COUNTIF('Problems by Unit'!$A$5:$A$94,$A7)</f>
        <v>9</v>
      </c>
      <c r="C7" s="5" t="n">
        <f aca="false">COUNTIFS('Problems by Unit'!$A$5:$A$94,$A7,'Problems by Unit'!$D$5:$D$94,"&gt;0")</f>
        <v>9</v>
      </c>
      <c r="D7" s="5" t="n">
        <f aca="false">SUMIF('Problems by Unit'!$A$5:$A$94,$A7,'Problems by Unit'!$D$5:$D$94)</f>
        <v>36</v>
      </c>
      <c r="E7" s="5" t="n">
        <f aca="false">SUMIF('Problems by Unit'!$A$5:$A$94,$A7,'Problems by Unit'!$E$5:$E$94)</f>
        <v>360</v>
      </c>
      <c r="F7" s="5" t="n">
        <f aca="false">SUMIF('Problems by Unit'!$A$5:$A$94,$A7,'Problems by Unit'!$F$5:$F$94)</f>
        <v>72</v>
      </c>
      <c r="G7" s="5" t="n">
        <f aca="false">SUMIF('Problems by Unit'!$A$5:$A$94,$A7,'Problems by Unit'!$G$5:$G$94)</f>
        <v>1780</v>
      </c>
      <c r="H7" s="5" t="n">
        <f aca="false">E7+F7+G7</f>
        <v>2212</v>
      </c>
      <c r="I7" s="5" t="n">
        <f aca="false">SUMIF('Problems by Unit'!$A$5:$A$94,$A7,'Problems by Unit'!$J$5:$J$94)</f>
        <v>36</v>
      </c>
      <c r="J7" s="5" t="n">
        <f aca="false">SUMIF('Problems by Unit'!$A$5:$A$94,$A7,'Problems by Unit'!$K$5:$K$94)</f>
        <v>90</v>
      </c>
      <c r="K7" s="5" t="n">
        <f aca="false">SUMIF('Problems by Unit'!$A$5:$A$94,$A7,'Problems by Unit'!$L$5:$L$94)</f>
        <v>18</v>
      </c>
    </row>
    <row r="8" customFormat="false" ht="15" hidden="false" customHeight="false" outlineLevel="0" collapsed="false">
      <c r="A8" s="4" t="s">
        <v>53</v>
      </c>
      <c r="B8" s="5" t="n">
        <f aca="false">COUNTIF('Problems by Unit'!$A$5:$A$94,$A8)</f>
        <v>9</v>
      </c>
      <c r="C8" s="5" t="n">
        <f aca="false">COUNTIFS('Problems by Unit'!$A$5:$A$94,$A8,'Problems by Unit'!$D$5:$D$94,"&gt;0")</f>
        <v>9</v>
      </c>
      <c r="D8" s="5" t="n">
        <f aca="false">SUMIF('Problems by Unit'!$A$5:$A$94,$A8,'Problems by Unit'!$D$5:$D$94)</f>
        <v>36</v>
      </c>
      <c r="E8" s="5" t="n">
        <f aca="false">SUMIF('Problems by Unit'!$A$5:$A$94,$A8,'Problems by Unit'!$E$5:$E$94)</f>
        <v>360</v>
      </c>
      <c r="F8" s="5" t="n">
        <f aca="false">SUMIF('Problems by Unit'!$A$5:$A$94,$A8,'Problems by Unit'!$F$5:$F$94)</f>
        <v>72</v>
      </c>
      <c r="G8" s="5" t="n">
        <f aca="false">SUMIF('Problems by Unit'!$A$5:$A$94,$A8,'Problems by Unit'!$G$5:$G$94)</f>
        <v>1976</v>
      </c>
      <c r="H8" s="5" t="n">
        <f aca="false">E8+F8+G8</f>
        <v>2408</v>
      </c>
      <c r="I8" s="5" t="n">
        <f aca="false">SUMIF('Problems by Unit'!$A$5:$A$94,$A8,'Problems by Unit'!$J$5:$J$94)</f>
        <v>36</v>
      </c>
      <c r="J8" s="5" t="n">
        <f aca="false">SUMIF('Problems by Unit'!$A$5:$A$94,$A8,'Problems by Unit'!$K$5:$K$94)</f>
        <v>90</v>
      </c>
      <c r="K8" s="5" t="n">
        <f aca="false">SUMIF('Problems by Unit'!$A$5:$A$94,$A8,'Problems by Unit'!$L$5:$L$94)</f>
        <v>18</v>
      </c>
    </row>
    <row r="9" customFormat="false" ht="15" hidden="false" customHeight="false" outlineLevel="0" collapsed="false">
      <c r="A9" s="4" t="s">
        <v>63</v>
      </c>
      <c r="B9" s="5" t="n">
        <f aca="false">COUNTIF('Problems by Unit'!$A$5:$A$94,$A9)</f>
        <v>9</v>
      </c>
      <c r="C9" s="5" t="n">
        <f aca="false">COUNTIFS('Problems by Unit'!$A$5:$A$94,$A9,'Problems by Unit'!$D$5:$D$94,"&gt;0")</f>
        <v>9</v>
      </c>
      <c r="D9" s="5" t="n">
        <f aca="false">SUMIF('Problems by Unit'!$A$5:$A$94,$A9,'Problems by Unit'!$D$5:$D$94)</f>
        <v>36</v>
      </c>
      <c r="E9" s="5" t="n">
        <f aca="false">SUMIF('Problems by Unit'!$A$5:$A$94,$A9,'Problems by Unit'!$E$5:$E$94)</f>
        <v>360</v>
      </c>
      <c r="F9" s="5" t="n">
        <f aca="false">SUMIF('Problems by Unit'!$A$5:$A$94,$A9,'Problems by Unit'!$F$5:$F$94)</f>
        <v>72</v>
      </c>
      <c r="G9" s="5" t="n">
        <f aca="false">SUMIF('Problems by Unit'!$A$5:$A$94,$A9,'Problems by Unit'!$G$5:$G$94)</f>
        <v>1514</v>
      </c>
      <c r="H9" s="5" t="n">
        <f aca="false">E9+F9+G9</f>
        <v>1946</v>
      </c>
      <c r="I9" s="5" t="n">
        <f aca="false">SUMIF('Problems by Unit'!$A$5:$A$94,$A9,'Problems by Unit'!$J$5:$J$94)</f>
        <v>36</v>
      </c>
      <c r="J9" s="5" t="n">
        <f aca="false">SUMIF('Problems by Unit'!$A$5:$A$94,$A9,'Problems by Unit'!$K$5:$K$94)</f>
        <v>90</v>
      </c>
      <c r="K9" s="5" t="n">
        <f aca="false">SUMIF('Problems by Unit'!$A$5:$A$94,$A9,'Problems by Unit'!$L$5:$L$94)</f>
        <v>18</v>
      </c>
    </row>
    <row r="10" customFormat="false" ht="15" hidden="false" customHeight="false" outlineLevel="0" collapsed="false">
      <c r="A10" s="4" t="s">
        <v>73</v>
      </c>
      <c r="B10" s="5" t="n">
        <f aca="false">COUNTIF('Problems by Unit'!$A$5:$A$94,$A10)</f>
        <v>9</v>
      </c>
      <c r="C10" s="5" t="n">
        <f aca="false">COUNTIFS('Problems by Unit'!$A$5:$A$94,$A10,'Problems by Unit'!$D$5:$D$94,"&gt;0")</f>
        <v>9</v>
      </c>
      <c r="D10" s="5" t="n">
        <f aca="false">SUMIF('Problems by Unit'!$A$5:$A$94,$A10,'Problems by Unit'!$D$5:$D$94)</f>
        <v>36</v>
      </c>
      <c r="E10" s="5" t="n">
        <f aca="false">SUMIF('Problems by Unit'!$A$5:$A$94,$A10,'Problems by Unit'!$E$5:$E$94)</f>
        <v>360</v>
      </c>
      <c r="F10" s="5" t="n">
        <f aca="false">SUMIF('Problems by Unit'!$A$5:$A$94,$A10,'Problems by Unit'!$F$5:$F$94)</f>
        <v>72</v>
      </c>
      <c r="G10" s="5" t="n">
        <f aca="false">SUMIF('Problems by Unit'!$A$5:$A$94,$A10,'Problems by Unit'!$G$5:$G$94)</f>
        <v>1492</v>
      </c>
      <c r="H10" s="5" t="n">
        <f aca="false">E10+F10+G10</f>
        <v>1924</v>
      </c>
      <c r="I10" s="5" t="n">
        <f aca="false">SUMIF('Problems by Unit'!$A$5:$A$94,$A10,'Problems by Unit'!$J$5:$J$94)</f>
        <v>36</v>
      </c>
      <c r="J10" s="5" t="n">
        <f aca="false">SUMIF('Problems by Unit'!$A$5:$A$94,$A10,'Problems by Unit'!$K$5:$K$94)</f>
        <v>90</v>
      </c>
      <c r="K10" s="5" t="n">
        <f aca="false">SUMIF('Problems by Unit'!$A$5:$A$94,$A10,'Problems by Unit'!$L$5:$L$94)</f>
        <v>18</v>
      </c>
    </row>
    <row r="11" customFormat="false" ht="15" hidden="false" customHeight="false" outlineLevel="0" collapsed="false">
      <c r="A11" s="4" t="s">
        <v>81</v>
      </c>
      <c r="B11" s="5" t="n">
        <f aca="false">COUNTIF('Problems by Unit'!$A$5:$A$94,$A11)</f>
        <v>9</v>
      </c>
      <c r="C11" s="5" t="n">
        <f aca="false">COUNTIFS('Problems by Unit'!$A$5:$A$94,$A11,'Problems by Unit'!$D$5:$D$94,"&gt;0")</f>
        <v>9</v>
      </c>
      <c r="D11" s="5" t="n">
        <f aca="false">SUMIF('Problems by Unit'!$A$5:$A$94,$A11,'Problems by Unit'!$D$5:$D$94)</f>
        <v>36</v>
      </c>
      <c r="E11" s="5" t="n">
        <f aca="false">SUMIF('Problems by Unit'!$A$5:$A$94,$A11,'Problems by Unit'!$E$5:$E$94)</f>
        <v>360</v>
      </c>
      <c r="F11" s="5" t="n">
        <f aca="false">SUMIF('Problems by Unit'!$A$5:$A$94,$A11,'Problems by Unit'!$F$5:$F$94)</f>
        <v>72</v>
      </c>
      <c r="G11" s="5" t="n">
        <f aca="false">SUMIF('Problems by Unit'!$A$5:$A$94,$A11,'Problems by Unit'!$G$5:$G$94)</f>
        <v>2777</v>
      </c>
      <c r="H11" s="5" t="n">
        <f aca="false">E11+F11+G11</f>
        <v>3209</v>
      </c>
      <c r="I11" s="5" t="n">
        <f aca="false">SUMIF('Problems by Unit'!$A$5:$A$94,$A11,'Problems by Unit'!$J$5:$J$94)</f>
        <v>36</v>
      </c>
      <c r="J11" s="5" t="n">
        <f aca="false">SUMIF('Problems by Unit'!$A$5:$A$94,$A11,'Problems by Unit'!$K$5:$K$94)</f>
        <v>90</v>
      </c>
      <c r="K11" s="5" t="n">
        <f aca="false">SUMIF('Problems by Unit'!$A$5:$A$94,$A11,'Problems by Unit'!$L$5:$L$94)</f>
        <v>18</v>
      </c>
    </row>
    <row r="12" customFormat="false" ht="15" hidden="false" customHeight="false" outlineLevel="0" collapsed="false">
      <c r="A12" s="4" t="s">
        <v>91</v>
      </c>
      <c r="B12" s="5" t="n">
        <f aca="false">COUNTIF('Problems by Unit'!$A$5:$A$94,$A12)</f>
        <v>9</v>
      </c>
      <c r="C12" s="5" t="n">
        <f aca="false">COUNTIFS('Problems by Unit'!$A$5:$A$94,$A12,'Problems by Unit'!$D$5:$D$94,"&gt;0")</f>
        <v>9</v>
      </c>
      <c r="D12" s="5" t="n">
        <f aca="false">SUMIF('Problems by Unit'!$A$5:$A$94,$A12,'Problems by Unit'!$D$5:$D$94)</f>
        <v>36</v>
      </c>
      <c r="E12" s="5" t="n">
        <f aca="false">SUMIF('Problems by Unit'!$A$5:$A$94,$A12,'Problems by Unit'!$E$5:$E$94)</f>
        <v>360</v>
      </c>
      <c r="F12" s="5" t="n">
        <f aca="false">SUMIF('Problems by Unit'!$A$5:$A$94,$A12,'Problems by Unit'!$F$5:$F$94)</f>
        <v>72</v>
      </c>
      <c r="G12" s="5" t="n">
        <f aca="false">SUMIF('Problems by Unit'!$A$5:$A$94,$A12,'Problems by Unit'!$G$5:$G$94)</f>
        <v>5307</v>
      </c>
      <c r="H12" s="5" t="n">
        <f aca="false">E12+F12+G12</f>
        <v>5739</v>
      </c>
      <c r="I12" s="5" t="n">
        <f aca="false">SUMIF('Problems by Unit'!$A$5:$A$94,$A12,'Problems by Unit'!$J$5:$J$94)</f>
        <v>36</v>
      </c>
      <c r="J12" s="5" t="n">
        <f aca="false">SUMIF('Problems by Unit'!$A$5:$A$94,$A12,'Problems by Unit'!$K$5:$K$94)</f>
        <v>90</v>
      </c>
      <c r="K12" s="5" t="n">
        <f aca="false">SUMIF('Problems by Unit'!$A$5:$A$94,$A12,'Problems by Unit'!$L$5:$L$94)</f>
        <v>18</v>
      </c>
    </row>
    <row r="13" customFormat="false" ht="15" hidden="false" customHeight="false" outlineLevel="0" collapsed="false">
      <c r="A13" s="4" t="s">
        <v>101</v>
      </c>
      <c r="B13" s="5" t="n">
        <f aca="false">COUNTIF('Problems by Unit'!$A$5:$A$94,$A13)</f>
        <v>9</v>
      </c>
      <c r="C13" s="5" t="n">
        <f aca="false">COUNTIFS('Problems by Unit'!$A$5:$A$94,$A13,'Problems by Unit'!$D$5:$D$94,"&gt;0")</f>
        <v>9</v>
      </c>
      <c r="D13" s="5" t="n">
        <f aca="false">SUMIF('Problems by Unit'!$A$5:$A$94,$A13,'Problems by Unit'!$D$5:$D$94)</f>
        <v>36</v>
      </c>
      <c r="E13" s="5" t="n">
        <f aca="false">SUMIF('Problems by Unit'!$A$5:$A$94,$A13,'Problems by Unit'!$E$5:$E$94)</f>
        <v>360</v>
      </c>
      <c r="F13" s="5" t="n">
        <f aca="false">SUMIF('Problems by Unit'!$A$5:$A$94,$A13,'Problems by Unit'!$F$5:$F$94)</f>
        <v>72</v>
      </c>
      <c r="G13" s="5" t="n">
        <f aca="false">SUMIF('Problems by Unit'!$A$5:$A$94,$A13,'Problems by Unit'!$G$5:$G$94)</f>
        <v>4036</v>
      </c>
      <c r="H13" s="5" t="n">
        <f aca="false">E13+F13+G13</f>
        <v>4468</v>
      </c>
      <c r="I13" s="5" t="n">
        <f aca="false">SUMIF('Problems by Unit'!$A$5:$A$94,$A13,'Problems by Unit'!$J$5:$J$94)</f>
        <v>36</v>
      </c>
      <c r="J13" s="5" t="n">
        <f aca="false">SUMIF('Problems by Unit'!$A$5:$A$94,$A13,'Problems by Unit'!$K$5:$K$94)</f>
        <v>90</v>
      </c>
      <c r="K13" s="5" t="n">
        <f aca="false">SUMIF('Problems by Unit'!$A$5:$A$94,$A13,'Problems by Unit'!$L$5:$L$94)</f>
        <v>18</v>
      </c>
    </row>
    <row r="14" customFormat="false" ht="15" hidden="false" customHeight="false" outlineLevel="0" collapsed="false">
      <c r="A14" s="11" t="s">
        <v>129</v>
      </c>
      <c r="B14" s="7" t="n">
        <f aca="false">SUM(B4:B13)</f>
        <v>90</v>
      </c>
      <c r="C14" s="7" t="n">
        <f aca="false">SUM(C4:C13)</f>
        <v>88</v>
      </c>
      <c r="D14" s="7" t="n">
        <f aca="false">SUM(D4:D13)</f>
        <v>328</v>
      </c>
      <c r="E14" s="7" t="n">
        <f aca="false">SUM(E4:E13)</f>
        <v>3291</v>
      </c>
      <c r="F14" s="7" t="n">
        <f aca="false">SUM(F4:F13)</f>
        <v>656</v>
      </c>
      <c r="G14" s="7" t="n">
        <f aca="false">SUM(G4:G13)</f>
        <v>24880</v>
      </c>
      <c r="H14" s="7" t="n">
        <f aca="false">SUM(H4:H13)</f>
        <v>28827</v>
      </c>
      <c r="I14" s="7" t="n">
        <f aca="false">SUM(I4:I13)</f>
        <v>328</v>
      </c>
      <c r="J14" s="7" t="n">
        <f aca="false">SUM(J4:J13)</f>
        <v>880</v>
      </c>
      <c r="K14" s="7" t="n">
        <f aca="false">SUM(K4:K13)</f>
        <v>180</v>
      </c>
    </row>
    <row r="16" customFormat="false" ht="15" hidden="false" customHeight="true" outlineLevel="0" collapsed="false">
      <c r="A16" s="9" t="s">
        <v>130</v>
      </c>
      <c r="B16" s="12" t="s">
        <v>131</v>
      </c>
      <c r="C16" s="12"/>
      <c r="D16" s="12"/>
      <c r="E16" s="12"/>
      <c r="F16" s="12"/>
      <c r="G16" s="12"/>
      <c r="H16" s="12"/>
      <c r="I16" s="12"/>
      <c r="J16" s="12"/>
      <c r="K16" s="12"/>
    </row>
    <row r="17" customFormat="false" ht="15" hidden="false" customHeight="false" outlineLevel="0" collapsed="false"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1">
    <mergeCell ref="B16:K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74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17.35" hidden="false" customHeight="false" outlineLevel="0" collapsed="false">
      <c r="A1" s="1" t="s">
        <v>132</v>
      </c>
    </row>
    <row r="3" customFormat="false" ht="15" hidden="false" customHeight="false" outlineLevel="0" collapsed="false">
      <c r="A3" s="13" t="s">
        <v>133</v>
      </c>
      <c r="B3" s="13" t="s">
        <v>134</v>
      </c>
      <c r="C3" s="13" t="s">
        <v>135</v>
      </c>
      <c r="D3" s="13" t="s">
        <v>136</v>
      </c>
      <c r="E3" s="13" t="s">
        <v>137</v>
      </c>
    </row>
    <row r="4" customFormat="false" ht="30" hidden="false" customHeight="true" outlineLevel="0" collapsed="false">
      <c r="A4" s="14" t="s">
        <v>138</v>
      </c>
      <c r="B4" s="14" t="s">
        <v>139</v>
      </c>
      <c r="C4" s="15" t="s">
        <v>140</v>
      </c>
      <c r="D4" s="14" t="s">
        <v>141</v>
      </c>
      <c r="E4" s="14" t="s">
        <v>141</v>
      </c>
    </row>
    <row r="5" customFormat="false" ht="30" hidden="false" customHeight="true" outlineLevel="0" collapsed="false">
      <c r="A5" s="14" t="s">
        <v>142</v>
      </c>
      <c r="B5" s="14" t="s">
        <v>143</v>
      </c>
      <c r="C5" s="15" t="s">
        <v>144</v>
      </c>
      <c r="D5" s="14" t="s">
        <v>141</v>
      </c>
      <c r="E5" s="14" t="s">
        <v>141</v>
      </c>
    </row>
    <row r="6" customFormat="false" ht="30" hidden="false" customHeight="true" outlineLevel="0" collapsed="false">
      <c r="A6" s="14" t="s">
        <v>145</v>
      </c>
      <c r="B6" s="14" t="s">
        <v>146</v>
      </c>
      <c r="C6" s="15" t="s">
        <v>147</v>
      </c>
      <c r="D6" s="14" t="s">
        <v>148</v>
      </c>
      <c r="E6" s="14" t="s">
        <v>149</v>
      </c>
    </row>
    <row r="7" customFormat="false" ht="30" hidden="false" customHeight="true" outlineLevel="0" collapsed="false">
      <c r="A7" s="14" t="s">
        <v>150</v>
      </c>
      <c r="B7" s="14" t="s">
        <v>151</v>
      </c>
      <c r="C7" s="15" t="s">
        <v>152</v>
      </c>
      <c r="D7" s="14" t="s">
        <v>141</v>
      </c>
      <c r="E7" s="14" t="s">
        <v>141</v>
      </c>
    </row>
    <row r="8" customFormat="false" ht="30" hidden="false" customHeight="true" outlineLevel="0" collapsed="false">
      <c r="A8" s="16" t="s">
        <v>153</v>
      </c>
      <c r="B8" s="16" t="s">
        <v>154</v>
      </c>
      <c r="C8" s="17" t="s">
        <v>155</v>
      </c>
      <c r="D8" s="16" t="s">
        <v>156</v>
      </c>
      <c r="E8" s="16" t="s">
        <v>157</v>
      </c>
    </row>
    <row r="9" customFormat="false" ht="30" hidden="false" customHeight="true" outlineLevel="0" collapsed="false">
      <c r="A9" s="14" t="s">
        <v>158</v>
      </c>
      <c r="B9" s="14" t="s">
        <v>159</v>
      </c>
      <c r="C9" s="15" t="s">
        <v>160</v>
      </c>
      <c r="D9" s="14" t="s">
        <v>141</v>
      </c>
      <c r="E9" s="14" t="s">
        <v>141</v>
      </c>
    </row>
    <row r="10" customFormat="false" ht="30" hidden="false" customHeight="true" outlineLevel="0" collapsed="false">
      <c r="A10" s="16" t="s">
        <v>161</v>
      </c>
      <c r="B10" s="16" t="s">
        <v>162</v>
      </c>
      <c r="C10" s="17" t="s">
        <v>163</v>
      </c>
      <c r="D10" s="16" t="s">
        <v>164</v>
      </c>
      <c r="E10" s="16" t="s">
        <v>165</v>
      </c>
    </row>
    <row r="12" customFormat="false" ht="15" hidden="false" customHeight="true" outlineLevel="0" collapsed="false">
      <c r="A12" s="18" t="s">
        <v>166</v>
      </c>
      <c r="B12" s="12" t="s">
        <v>167</v>
      </c>
      <c r="C12" s="12"/>
      <c r="D12" s="12"/>
      <c r="E12" s="12"/>
    </row>
    <row r="13" customFormat="false" ht="15" hidden="false" customHeight="false" outlineLevel="0" collapsed="false">
      <c r="B13" s="12"/>
      <c r="C13" s="12"/>
      <c r="D13" s="12"/>
      <c r="E13" s="12"/>
    </row>
    <row r="14" customFormat="false" ht="15" hidden="false" customHeight="false" outlineLevel="0" collapsed="false">
      <c r="B14" s="12"/>
      <c r="C14" s="12"/>
      <c r="D14" s="12"/>
      <c r="E14" s="12"/>
    </row>
  </sheetData>
  <mergeCells count="1">
    <mergeCell ref="B12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2026-08-24T12:46:35Z</dcterms:created>
  <dc:creator>openpyxl</dc:creator>
  <dc:description/>
  <dc:language>en-US</dc:language>
  <cp:lastModifiedBy/>
  <dcterms:modified xsi:type="dcterms:W3CDTF">2026-08-24T12:46:36Z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